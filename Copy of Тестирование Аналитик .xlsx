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Сводная товарооборот" sheetId="2" r:id="rId5"/>
    <sheet state="visible" name="Copy of Сводная товарооборот" sheetId="3" r:id="rId6"/>
    <sheet state="visible" name="Сводная товарооборот на склад" sheetId="4" r:id="rId7"/>
    <sheet state="visible" name="Copy of Сводная товарооборот на" sheetId="5" r:id="rId8"/>
    <sheet state="visible" name="ТОП и график" sheetId="6" r:id="rId9"/>
    <sheet state="visible" name="Лист2" sheetId="7" r:id="rId10"/>
  </sheets>
  <definedNames/>
  <calcPr/>
  <pivotCaches>
    <pivotCache cacheId="0" r:id="rId11"/>
  </pivotCaches>
  <extLst>
    <ext uri="GoogleSheetsCustomDataVersion2">
      <go:sheetsCustomData xmlns:go="http://customooxmlschemas.google.com/" r:id="rId12" roundtripDataChecksum="LrTlgqqjoOarOJANGK+O5DtTEBhBEPyFmy8VOuPPKjc="/>
    </ext>
  </extLst>
</workbook>
</file>

<file path=xl/sharedStrings.xml><?xml version="1.0" encoding="utf-8"?>
<sst xmlns="http://schemas.openxmlformats.org/spreadsheetml/2006/main" count="1122" uniqueCount="32">
  <si>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</si>
  <si>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</si>
  <si>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</si>
  <si>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</si>
  <si>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</si>
  <si>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</si>
  <si>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</si>
  <si>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</si>
  <si>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</si>
  <si>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</si>
  <si>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</si>
  <si>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SUM of Товарооборот на склад</t>
  </si>
  <si>
    <t>Grand Total</t>
  </si>
  <si>
    <t>Москва Восток</t>
  </si>
  <si>
    <t>SUM of Товарооборот, руб</t>
  </si>
  <si>
    <t>Москва Запад</t>
  </si>
  <si>
    <t>Санкт-Петербург Север</t>
  </si>
  <si>
    <t>Екатеринбург</t>
  </si>
  <si>
    <t>Санкт-Петербург Юг</t>
  </si>
  <si>
    <t>Казань</t>
  </si>
  <si>
    <t>Волгоград</t>
  </si>
  <si>
    <t>Нижний Новгород</t>
  </si>
  <si>
    <t>Краснодар</t>
  </si>
  <si>
    <t>Тюмень</t>
  </si>
  <si>
    <t>Ростов-на-Дону</t>
  </si>
  <si>
    <t>Тольятти</t>
  </si>
  <si>
    <t>Пермь</t>
  </si>
  <si>
    <t>Новосибирск</t>
  </si>
  <si>
    <t>Уфа</t>
  </si>
  <si>
    <t>Томск</t>
  </si>
  <si>
    <t>Топ-3 территорий по доле в общем товарообороте за последнюю неделю:</t>
  </si>
  <si>
    <t>Топ-3 территорий по доле в товарообороте на склад за последнюю неделю: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</si>
</sst>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rgb="FF0F1115"/>
      <name val="Calibri"/>
      <scheme val="minor"/>
    </font>
    <font>
      <color theme="1"/>
      <name val="Calibri"/>
      <scheme val="minor"/>
    </font>
    <font>
      <b/>
      <i/>
      <color theme="1"/>
      <name val="Calibri"/>
      <scheme val="minor"/>
    </font>
    <font/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2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2" numFmtId="164" xfId="0" applyBorder="1" applyFill="1" applyFont="1" applyNumberFormat="1"/>
    <xf borderId="2" fillId="3" fontId="2" numFmtId="0" xfId="0" applyBorder="1" applyFill="1" applyFont="1"/>
    <xf borderId="0" fillId="0" fontId="3" numFmtId="0" xfId="0" applyFont="1"/>
    <xf borderId="0" fillId="0" fontId="3" numFmtId="0" xfId="0" applyFont="1"/>
    <xf borderId="0" fillId="0" fontId="4" numFmtId="0" xfId="0" applyFont="1"/>
    <xf borderId="4" fillId="0" fontId="2" numFmtId="164" xfId="0" applyBorder="1" applyFont="1" applyNumberFormat="1"/>
    <xf borderId="5" fillId="0" fontId="2" numFmtId="0" xfId="0" applyBorder="1" applyFont="1"/>
    <xf borderId="0" fillId="0" fontId="4" numFmtId="10" xfId="0" applyFont="1" applyNumberFormat="1"/>
    <xf borderId="6" fillId="0" fontId="5" numFmtId="0" xfId="0" applyAlignment="1" applyBorder="1" applyFont="1">
      <alignment readingOrder="0"/>
    </xf>
    <xf borderId="7" fillId="0" fontId="6" numFmtId="0" xfId="0" applyBorder="1" applyFont="1"/>
    <xf borderId="8" fillId="0" fontId="6" numFmtId="0" xfId="0" applyBorder="1" applyFont="1"/>
    <xf borderId="9" fillId="0" fontId="5" numFmtId="0" xfId="0" applyAlignment="1" applyBorder="1" applyFont="1">
      <alignment readingOrder="0"/>
    </xf>
    <xf borderId="6" fillId="0" fontId="4" numFmtId="0" xfId="0" applyBorder="1" applyFont="1"/>
    <xf borderId="0" fillId="0" fontId="2" numFmtId="164" xfId="0" applyFont="1" applyNumberFormat="1"/>
    <xf borderId="0" fillId="0" fontId="7" numFmtId="0" xfId="0" applyFont="1"/>
    <xf borderId="10" fillId="0" fontId="2" numFmtId="164" xfId="0" applyBorder="1" applyFont="1" applyNumberForma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'Copy of Сводная товарооборот'!$A$3:$A$8</c:f>
            </c:strRef>
          </c:cat>
          <c:val>
            <c:numRef>
              <c:f>'Copy of Сводная товарооборот'!$T$3:$T$8</c:f>
              <c:numCache/>
            </c:numRef>
          </c:val>
          <c:smooth val="0"/>
        </c:ser>
        <c:axId val="324777208"/>
        <c:axId val="1272056927"/>
      </c:lineChart>
      <c:catAx>
        <c:axId val="32477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056927"/>
      </c:catAx>
      <c:valAx>
        <c:axId val="1272056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777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'Copy of Сводная товарооборот на'!$A$3:$A$8</c:f>
            </c:strRef>
          </c:cat>
          <c:val>
            <c:numRef>
              <c:f>'Copy of Сводная товарооборот на'!$T$3:$T$8</c:f>
              <c:numCache/>
            </c:numRef>
          </c:val>
          <c:smooth val="0"/>
        </c:ser>
        <c:axId val="827404478"/>
        <c:axId val="1841012411"/>
      </c:lineChart>
      <c:catAx>
        <c:axId val="827404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012411"/>
      </c:catAx>
      <c:valAx>
        <c:axId val="1841012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404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с понедельной динамикой товарооборота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'Copy of Сводная товарооборот'!$A$3:$A$8</c:f>
            </c:strRef>
          </c:cat>
          <c:val>
            <c:numRef>
              <c:f>'Copy of Сводная товарооборот'!$T$3:$T$8</c:f>
              <c:numCache/>
            </c:numRef>
          </c:val>
          <c:smooth val="0"/>
        </c:ser>
        <c:axId val="1519126870"/>
        <c:axId val="1970391968"/>
      </c:lineChart>
      <c:catAx>
        <c:axId val="1519126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391968"/>
      </c:catAx>
      <c:valAx>
        <c:axId val="1970391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Товарооборот,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126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с понедельной товарооборота на склад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'Copy of Сводная товарооборот на'!$A$3:$A$8</c:f>
            </c:strRef>
          </c:cat>
          <c:val>
            <c:numRef>
              <c:f>'Copy of Сводная товарооборот на'!$T$3:$T$8</c:f>
              <c:numCache/>
            </c:numRef>
          </c:val>
          <c:smooth val="0"/>
        </c:ser>
        <c:axId val="1509905856"/>
        <c:axId val="1731182964"/>
      </c:lineChart>
      <c:catAx>
        <c:axId val="150990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182964"/>
      </c:catAx>
      <c:valAx>
        <c:axId val="1731182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Товарооборот,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905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11</xdr:row>
      <xdr:rowOff>76200</xdr:rowOff>
    </xdr:from>
    <xdr:ext cx="5715000" cy="3533775"/>
    <xdr:graphicFrame>
      <xdr:nvGraphicFramePr>
        <xdr:cNvPr id="157405215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4</xdr:row>
      <xdr:rowOff>28575</xdr:rowOff>
    </xdr:from>
    <xdr:ext cx="5715000" cy="3533775"/>
    <xdr:graphicFrame>
      <xdr:nvGraphicFramePr>
        <xdr:cNvPr id="5277684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19050</xdr:rowOff>
    </xdr:from>
    <xdr:ext cx="5210175" cy="2752725"/>
    <xdr:graphicFrame>
      <xdr:nvGraphicFramePr>
        <xdr:cNvPr id="76563796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12</xdr:row>
      <xdr:rowOff>19050</xdr:rowOff>
    </xdr:from>
    <xdr:ext cx="5162550" cy="2752725"/>
    <xdr:graphicFrame>
      <xdr:nvGraphicFramePr>
        <xdr:cNvPr id="151023287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05" sheet="Лист1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368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Товарооборот на склад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оварооборот" cacheId="0" dataCaption="" compact="0" compactData="0">
  <location ref="A1:C21" firstHeaderRow="0" firstDataRow="1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  <reference field="8">
              <x v="5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Col" compact="0" outline="0" multipleItemSelectionAllowed="1" showAll="0" sortType="ascending">
      <items>
        <item h="1" x="4"/>
        <item h="1" x="3"/>
        <item h="1" x="1"/>
        <item h="1" x="2"/>
        <item h="1" x="0"/>
        <item x="5"/>
        <item t="default"/>
      </items>
    </pivotField>
  </pivotFields>
  <rowFields>
    <field x="1"/>
  </rowFields>
  <colFields>
    <field x="8"/>
  </colFields>
  <dataFields>
    <dataField name="SUM of Товарооборот, руб" fld="3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Copy of Сводная товарооборот" cacheId="0" dataCaption="" compact="0" compactData="0">
  <location ref="A1:T9" firstHeaderRow="0" firstDataRow="1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Col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8"/>
  </rowFields>
  <colFields>
    <field x="1"/>
  </colFields>
  <dataFields>
    <dataField name="SUM of Товарооборот, руб" fld="3" baseField="0"/>
  </dataFields>
</pivotTableDefinition>
</file>

<file path=xl/pivotTables/pivotTable3.xml><?xml version="1.0" encoding="utf-8"?>
<pivotTableDefinition xmlns="http://schemas.openxmlformats.org/spreadsheetml/2006/main" name="Сводная товарооборот на склад" cacheId="0" dataCaption="" compact="0" compactData="0">
  <location ref="A1:C21" firstHeaderRow="0" firstDataRow="1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  <reference field="8">
              <x v="5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Col" compact="0" outline="0" multipleItemSelectionAllowed="1" showAll="0" sortType="ascending">
      <items>
        <item h="1" x="4"/>
        <item h="1" x="3"/>
        <item h="1" x="1"/>
        <item h="1" x="2"/>
        <item h="1" x="0"/>
        <item x="5"/>
        <item t="default"/>
      </items>
    </pivotField>
  </pivotFields>
  <rowFields>
    <field x="1"/>
  </rowFields>
  <colFields>
    <field x="8"/>
  </colFields>
  <dataFields>
    <dataField name="SUM of Товарооборот на склад" fld="7" showDataAs="percentOfCol" baseField="0" numFmtId="10"/>
  </dataFields>
</pivotTableDefinition>
</file>

<file path=xl/pivotTables/pivotTable4.xml><?xml version="1.0" encoding="utf-8"?>
<pivotTableDefinition xmlns="http://schemas.openxmlformats.org/spreadsheetml/2006/main" name="Copy of Сводная товарооборот на" cacheId="0" dataCaption="" compact="0" compactData="0">
  <location ref="A1:T9" firstHeaderRow="0" firstDataRow="1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Col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8"/>
  </rowFields>
  <colFields>
    <field x="1"/>
  </colFields>
  <dataFields>
    <dataField name="SUM of Товарооборот на склад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4.25" customHeight="1">
      <c r="A2" s="5">
        <v>43982.0</v>
      </c>
      <c r="B2" s="6" t="s">
        <v>9</v>
      </c>
      <c r="C2" s="6">
        <v>7944.0</v>
      </c>
      <c r="D2" s="6">
        <v>623971.5</v>
      </c>
      <c r="E2" s="7">
        <f t="array" ref="E2">_xlfn.XLOOKUP($K2,
         'Лист2'!$G$2:$G$505,
         'Лист2'!$C$2:$C$505,
         "не найдено")</f>
        <v>15</v>
      </c>
      <c r="F2" s="7">
        <f t="array" ref="F2">_xlfn.XLOOKUP($K2,
         'Лист2'!$G$2:$G$505,
         'Лист2'!$E$2:$E$505,
         "не найдено")</f>
        <v>368</v>
      </c>
      <c r="G2" s="7">
        <f t="array" ref="G2">_xlfn.XLOOKUP($K2,
         'Лист2'!$G$2:$G$505,
         'Лист2'!$D$2:$D$505,
         "не найдено")</f>
        <v>441</v>
      </c>
      <c r="H2" s="8">
        <f t="shared" ref="H2:H505" si="1">D2/E2</f>
        <v>41598.1</v>
      </c>
      <c r="I2" s="8">
        <f t="shared" ref="I2:I505" si="2">WEEKNUM(A2,21)</f>
        <v>22</v>
      </c>
      <c r="J2" s="9">
        <f>max(I2:I505)</f>
        <v>23</v>
      </c>
      <c r="K2" s="8" t="str">
        <f t="shared" ref="K2:K505" si="3">$A2 &amp; "|" &amp; $B2</f>
        <v>43982|Самара</v>
      </c>
    </row>
    <row r="3" ht="14.25" customHeight="1">
      <c r="A3" s="10">
        <v>43981.0</v>
      </c>
      <c r="B3" s="11" t="s">
        <v>9</v>
      </c>
      <c r="C3" s="11">
        <v>10029.0</v>
      </c>
      <c r="D3" s="11">
        <v>787101.0</v>
      </c>
      <c r="E3" s="7">
        <f t="array" ref="E3">_xlfn.XLOOKUP($K3,
         'Лист2'!$G$2:$G$505,
         'Лист2'!$C$2:$C$505,
         "не найдено")</f>
        <v>15</v>
      </c>
      <c r="F3" s="7">
        <f t="array" ref="F3">_xlfn.XLOOKUP($K3,
         'Лист2'!$G$2:$G$505,
         'Лист2'!$D$2:$D$505,
         "не найдено")</f>
        <v>490</v>
      </c>
      <c r="G3" s="7">
        <f t="array" ref="G3">_xlfn.XLOOKUP($K3,
         'Лист2'!$G$2:$G$505,
         'Лист2'!$D$2:$D$505,
         "не найдено")</f>
        <v>490</v>
      </c>
      <c r="H3" s="8">
        <f t="shared" si="1"/>
        <v>52473.4</v>
      </c>
      <c r="I3" s="8">
        <f t="shared" si="2"/>
        <v>22</v>
      </c>
      <c r="K3" s="8" t="str">
        <f t="shared" si="3"/>
        <v>43981|Самара</v>
      </c>
    </row>
    <row r="4" ht="14.25" customHeight="1">
      <c r="A4" s="5">
        <v>43979.0</v>
      </c>
      <c r="B4" s="6" t="s">
        <v>9</v>
      </c>
      <c r="C4" s="6">
        <v>8536.5</v>
      </c>
      <c r="D4" s="6">
        <v>643944.0</v>
      </c>
      <c r="E4" s="7">
        <f t="array" ref="E4">_xlfn.XLOOKUP($K4,
         'Лист2'!$G$2:$G$505,
         'Лист2'!$C$2:$C$505,
         "не найдено")</f>
        <v>15</v>
      </c>
      <c r="F4" s="7">
        <f t="array" ref="F4">_xlfn.XLOOKUP($K4,
         'Лист2'!$G$2:$G$505,
         'Лист2'!$D$2:$D$505,
         "не найдено")</f>
        <v>464</v>
      </c>
      <c r="G4" s="7">
        <f t="array" ref="G4">_xlfn.XLOOKUP($K4,
         'Лист2'!$G$2:$G$505,
         'Лист2'!$D$2:$D$505,
         "не найдено")</f>
        <v>464</v>
      </c>
      <c r="H4" s="8">
        <f t="shared" si="1"/>
        <v>42929.6</v>
      </c>
      <c r="I4" s="8">
        <f t="shared" si="2"/>
        <v>22</v>
      </c>
      <c r="K4" s="8" t="str">
        <f t="shared" si="3"/>
        <v>43979|Самара</v>
      </c>
    </row>
    <row r="5" ht="14.25" customHeight="1">
      <c r="A5" s="10">
        <v>43967.0</v>
      </c>
      <c r="B5" s="11" t="s">
        <v>10</v>
      </c>
      <c r="C5" s="11">
        <v>38947.5</v>
      </c>
      <c r="D5" s="11">
        <v>3395892.0</v>
      </c>
      <c r="E5" s="7">
        <f t="array" ref="E5">_xlfn.XLOOKUP($K5,
         'Лист2'!$G$2:$G$505,
         'Лист2'!$C$2:$C$505,
         "не найдено")</f>
        <v>21</v>
      </c>
      <c r="F5" s="7">
        <f t="array" ref="F5">_xlfn.XLOOKUP($K5,
         'Лист2'!$G$2:$G$505,
         'Лист2'!$D$2:$D$505,
         "не найдено")</f>
        <v>2145</v>
      </c>
      <c r="G5" s="7">
        <f t="array" ref="G5">_xlfn.XLOOKUP($K5,
         'Лист2'!$G$2:$G$505,
         'Лист2'!$D$2:$D$505,
         "не найдено")</f>
        <v>2145</v>
      </c>
      <c r="H5" s="8">
        <f t="shared" si="1"/>
        <v>161709.1429</v>
      </c>
      <c r="I5" s="8">
        <f t="shared" si="2"/>
        <v>20</v>
      </c>
      <c r="K5" s="8" t="str">
        <f t="shared" si="3"/>
        <v>43967|Кемерово</v>
      </c>
    </row>
    <row r="6" ht="14.25" customHeight="1">
      <c r="A6" s="5">
        <v>43970.0</v>
      </c>
      <c r="B6" s="6" t="s">
        <v>10</v>
      </c>
      <c r="C6" s="6">
        <v>31842.0</v>
      </c>
      <c r="D6" s="6">
        <v>2771116.5</v>
      </c>
      <c r="E6" s="7">
        <f t="array" ref="E6">_xlfn.XLOOKUP($K6,
         'Лист2'!$G$2:$G$505,
         'Лист2'!$C$2:$C$505,
         "не найдено")</f>
        <v>21</v>
      </c>
      <c r="F6" s="7">
        <f t="array" ref="F6">_xlfn.XLOOKUP($K6,
         'Лист2'!$G$2:$G$505,
         'Лист2'!$D$2:$D$505,
         "не найдено")</f>
        <v>1860</v>
      </c>
      <c r="G6" s="7">
        <f t="array" ref="G6">_xlfn.XLOOKUP($K6,
         'Лист2'!$G$2:$G$505,
         'Лист2'!$D$2:$D$505,
         "не найдено")</f>
        <v>1860</v>
      </c>
      <c r="H6" s="8">
        <f t="shared" si="1"/>
        <v>131957.9286</v>
      </c>
      <c r="I6" s="8">
        <f t="shared" si="2"/>
        <v>21</v>
      </c>
      <c r="K6" s="8" t="str">
        <f t="shared" si="3"/>
        <v>43970|Кемерово</v>
      </c>
    </row>
    <row r="7" ht="14.25" customHeight="1">
      <c r="A7" s="10">
        <v>43968.0</v>
      </c>
      <c r="B7" s="11" t="s">
        <v>10</v>
      </c>
      <c r="C7" s="11">
        <v>32023.5</v>
      </c>
      <c r="D7" s="11">
        <v>2882458.5</v>
      </c>
      <c r="E7" s="7">
        <f t="array" ref="E7">_xlfn.XLOOKUP($K7,
         'Лист2'!$G$2:$G$505,
         'Лист2'!$C$2:$C$505,
         "не найдено")</f>
        <v>21</v>
      </c>
      <c r="F7" s="7">
        <f t="array" ref="F7">_xlfn.XLOOKUP($K7,
         'Лист2'!$G$2:$G$505,
         'Лист2'!$D$2:$D$505,
         "не найдено")</f>
        <v>1874</v>
      </c>
      <c r="G7" s="7">
        <f t="array" ref="G7">_xlfn.XLOOKUP($K7,
         'Лист2'!$G$2:$G$505,
         'Лист2'!$D$2:$D$505,
         "не найдено")</f>
        <v>1874</v>
      </c>
      <c r="H7" s="8">
        <f t="shared" si="1"/>
        <v>137259.9286</v>
      </c>
      <c r="I7" s="8">
        <f t="shared" si="2"/>
        <v>20</v>
      </c>
      <c r="K7" s="8" t="str">
        <f t="shared" si="3"/>
        <v>43968|Кемерово</v>
      </c>
    </row>
    <row r="8" ht="14.25" customHeight="1">
      <c r="A8" s="5">
        <v>43960.0</v>
      </c>
      <c r="B8" s="6" t="s">
        <v>10</v>
      </c>
      <c r="C8" s="6">
        <v>31147.5</v>
      </c>
      <c r="D8" s="6">
        <v>2831019.0</v>
      </c>
      <c r="E8" s="7">
        <f t="array" ref="E8">_xlfn.XLOOKUP($K8,
         'Лист2'!$G$2:$G$505,
         'Лист2'!$C$2:$C$505,
         "не найдено")</f>
        <v>21</v>
      </c>
      <c r="F8" s="7">
        <f t="array" ref="F8">_xlfn.XLOOKUP($K8,
         'Лист2'!$G$2:$G$505,
         'Лист2'!$D$2:$D$505,
         "не найдено")</f>
        <v>1735</v>
      </c>
      <c r="G8" s="7">
        <f t="array" ref="G8">_xlfn.XLOOKUP($K8,
         'Лист2'!$G$2:$G$505,
         'Лист2'!$D$2:$D$505,
         "не найдено")</f>
        <v>1735</v>
      </c>
      <c r="H8" s="8">
        <f t="shared" si="1"/>
        <v>134810.4286</v>
      </c>
      <c r="I8" s="8">
        <f t="shared" si="2"/>
        <v>19</v>
      </c>
      <c r="K8" s="8" t="str">
        <f t="shared" si="3"/>
        <v>43960|Кемерово</v>
      </c>
    </row>
    <row r="9" ht="14.25" customHeight="1">
      <c r="A9" s="10">
        <v>43955.0</v>
      </c>
      <c r="B9" s="11" t="s">
        <v>10</v>
      </c>
      <c r="C9" s="11">
        <v>25566.0</v>
      </c>
      <c r="D9" s="11">
        <v>2372310.0</v>
      </c>
      <c r="E9" s="7">
        <f t="array" ref="E9">_xlfn.XLOOKUP($K9,
         'Лист2'!$G$2:$G$505,
         'Лист2'!$C$2:$C$505,
         "не найдено")</f>
        <v>20</v>
      </c>
      <c r="F9" s="7">
        <f t="array" ref="F9">_xlfn.XLOOKUP($K9,
         'Лист2'!$G$2:$G$505,
         'Лист2'!$D$2:$D$505,
         "не найдено")</f>
        <v>1519</v>
      </c>
      <c r="G9" s="7">
        <f t="array" ref="G9">_xlfn.XLOOKUP($K9,
         'Лист2'!$G$2:$G$505,
         'Лист2'!$D$2:$D$505,
         "не найдено")</f>
        <v>1519</v>
      </c>
      <c r="H9" s="8">
        <f t="shared" si="1"/>
        <v>118615.5</v>
      </c>
      <c r="I9" s="8">
        <f t="shared" si="2"/>
        <v>19</v>
      </c>
      <c r="K9" s="8" t="str">
        <f t="shared" si="3"/>
        <v>43955|Кемерово</v>
      </c>
    </row>
    <row r="10" ht="14.25" customHeight="1">
      <c r="A10" s="5">
        <v>43950.0</v>
      </c>
      <c r="B10" s="6" t="s">
        <v>10</v>
      </c>
      <c r="C10" s="6">
        <v>29319.0</v>
      </c>
      <c r="D10" s="6">
        <v>2623480.5</v>
      </c>
      <c r="E10" s="7">
        <f t="array" ref="E10">_xlfn.XLOOKUP($K10,
         'Лист2'!$G$2:$G$505,
         'Лист2'!$C$2:$C$505,
         "не найдено")</f>
        <v>18</v>
      </c>
      <c r="F10" s="7">
        <f t="array" ref="F10">_xlfn.XLOOKUP($K10,
         'Лист2'!$G$2:$G$505,
         'Лист2'!$D$2:$D$505,
         "не найдено")</f>
        <v>1684</v>
      </c>
      <c r="G10" s="7">
        <f t="array" ref="G10">_xlfn.XLOOKUP($K10,
         'Лист2'!$G$2:$G$505,
         'Лист2'!$D$2:$D$505,
         "не найдено")</f>
        <v>1684</v>
      </c>
      <c r="H10" s="8">
        <f t="shared" si="1"/>
        <v>145748.9167</v>
      </c>
      <c r="I10" s="8">
        <f t="shared" si="2"/>
        <v>18</v>
      </c>
      <c r="K10" s="8" t="str">
        <f t="shared" si="3"/>
        <v>43950|Кемерово</v>
      </c>
    </row>
    <row r="11" ht="14.25" customHeight="1">
      <c r="A11" s="10">
        <v>43953.0</v>
      </c>
      <c r="B11" s="11" t="s">
        <v>10</v>
      </c>
      <c r="C11" s="11">
        <v>29031.0</v>
      </c>
      <c r="D11" s="11">
        <v>2711247.0</v>
      </c>
      <c r="E11" s="7">
        <f t="array" ref="E11">_xlfn.XLOOKUP($K11,
         'Лист2'!$G$2:$G$505,
         'Лист2'!$C$2:$C$505,
         "не найдено")</f>
        <v>18</v>
      </c>
      <c r="F11" s="7">
        <f t="array" ref="F11">_xlfn.XLOOKUP($K11,
         'Лист2'!$G$2:$G$505,
         'Лист2'!$D$2:$D$505,
         "не найдено")</f>
        <v>1708</v>
      </c>
      <c r="G11" s="7">
        <f t="array" ref="G11">_xlfn.XLOOKUP($K11,
         'Лист2'!$G$2:$G$505,
         'Лист2'!$D$2:$D$505,
         "не найдено")</f>
        <v>1708</v>
      </c>
      <c r="H11" s="8">
        <f t="shared" si="1"/>
        <v>150624.8333</v>
      </c>
      <c r="I11" s="8">
        <f t="shared" si="2"/>
        <v>18</v>
      </c>
      <c r="K11" s="8" t="str">
        <f t="shared" si="3"/>
        <v>43953|Кемерово</v>
      </c>
    </row>
    <row r="12" ht="14.25" customHeight="1">
      <c r="A12" s="5">
        <v>43977.0</v>
      </c>
      <c r="B12" s="6" t="s">
        <v>10</v>
      </c>
      <c r="C12" s="6">
        <v>33423.0</v>
      </c>
      <c r="D12" s="6">
        <v>2970330.0</v>
      </c>
      <c r="E12" s="7">
        <f t="array" ref="E12">_xlfn.XLOOKUP($K12,
         'Лист2'!$G$2:$G$505,
         'Лист2'!$C$2:$C$505,
         "не найдено")</f>
        <v>20</v>
      </c>
      <c r="F12" s="7">
        <f t="array" ref="F12">_xlfn.XLOOKUP($K12,
         'Лист2'!$G$2:$G$505,
         'Лист2'!$D$2:$D$505,
         "не найдено")</f>
        <v>2044</v>
      </c>
      <c r="G12" s="7">
        <f t="array" ref="G12">_xlfn.XLOOKUP($K12,
         'Лист2'!$G$2:$G$505,
         'Лист2'!$D$2:$D$505,
         "не найдено")</f>
        <v>2044</v>
      </c>
      <c r="H12" s="8">
        <f t="shared" si="1"/>
        <v>148516.5</v>
      </c>
      <c r="I12" s="8">
        <f t="shared" si="2"/>
        <v>22</v>
      </c>
      <c r="K12" s="8" t="str">
        <f t="shared" si="3"/>
        <v>43977|Кемерово</v>
      </c>
    </row>
    <row r="13" ht="14.25" customHeight="1">
      <c r="A13" s="10">
        <v>43952.0</v>
      </c>
      <c r="B13" s="11" t="s">
        <v>10</v>
      </c>
      <c r="C13" s="11">
        <v>32487.0</v>
      </c>
      <c r="D13" s="11">
        <v>3031254.0</v>
      </c>
      <c r="E13" s="7">
        <f t="array" ref="E13">_xlfn.XLOOKUP($K13,
         'Лист2'!$G$2:$G$505,
         'Лист2'!$C$2:$C$505,
         "не найдено")</f>
        <v>18</v>
      </c>
      <c r="F13" s="7">
        <f t="array" ref="F13">_xlfn.XLOOKUP($K13,
         'Лист2'!$G$2:$G$505,
         'Лист2'!$D$2:$D$505,
         "не найдено")</f>
        <v>1826</v>
      </c>
      <c r="G13" s="7">
        <f t="array" ref="G13">_xlfn.XLOOKUP($K13,
         'Лист2'!$G$2:$G$505,
         'Лист2'!$D$2:$D$505,
         "не найдено")</f>
        <v>1826</v>
      </c>
      <c r="H13" s="8">
        <f t="shared" si="1"/>
        <v>168403</v>
      </c>
      <c r="I13" s="8">
        <f t="shared" si="2"/>
        <v>18</v>
      </c>
      <c r="K13" s="8" t="str">
        <f t="shared" si="3"/>
        <v>43952|Кемерово</v>
      </c>
    </row>
    <row r="14" ht="14.25" customHeight="1">
      <c r="A14" s="5">
        <v>43963.0</v>
      </c>
      <c r="B14" s="6" t="s">
        <v>10</v>
      </c>
      <c r="C14" s="6">
        <v>28219.5</v>
      </c>
      <c r="D14" s="6">
        <v>2595778.5</v>
      </c>
      <c r="E14" s="7">
        <f t="array" ref="E14">_xlfn.XLOOKUP($K14,
         'Лист2'!$G$2:$G$505,
         'Лист2'!$C$2:$C$505,
         "не найдено")</f>
        <v>21</v>
      </c>
      <c r="F14" s="7">
        <f t="array" ref="F14">_xlfn.XLOOKUP($K14,
         'Лист2'!$G$2:$G$505,
         'Лист2'!$D$2:$D$505,
         "не найдено")</f>
        <v>1656</v>
      </c>
      <c r="G14" s="7">
        <f t="array" ref="G14">_xlfn.XLOOKUP($K14,
         'Лист2'!$G$2:$G$505,
         'Лист2'!$D$2:$D$505,
         "не найдено")</f>
        <v>1656</v>
      </c>
      <c r="H14" s="8">
        <f t="shared" si="1"/>
        <v>123608.5</v>
      </c>
      <c r="I14" s="8">
        <f t="shared" si="2"/>
        <v>20</v>
      </c>
      <c r="K14" s="8" t="str">
        <f t="shared" si="3"/>
        <v>43963|Кемерово</v>
      </c>
    </row>
    <row r="15" ht="14.25" customHeight="1">
      <c r="A15" s="10">
        <v>43972.0</v>
      </c>
      <c r="B15" s="11" t="s">
        <v>10</v>
      </c>
      <c r="C15" s="11">
        <v>31272.0</v>
      </c>
      <c r="D15" s="11">
        <v>2744382.0</v>
      </c>
      <c r="E15" s="7">
        <f t="array" ref="E15">_xlfn.XLOOKUP($K15,
         'Лист2'!$G$2:$G$505,
         'Лист2'!$C$2:$C$505,
         "не найдено")</f>
        <v>21</v>
      </c>
      <c r="F15" s="7">
        <f t="array" ref="F15">_xlfn.XLOOKUP($K15,
         'Лист2'!$G$2:$G$505,
         'Лист2'!$D$2:$D$505,
         "не найдено")</f>
        <v>1787</v>
      </c>
      <c r="G15" s="7">
        <f t="array" ref="G15">_xlfn.XLOOKUP($K15,
         'Лист2'!$G$2:$G$505,
         'Лист2'!$D$2:$D$505,
         "не найдено")</f>
        <v>1787</v>
      </c>
      <c r="H15" s="8">
        <f t="shared" si="1"/>
        <v>130684.8571</v>
      </c>
      <c r="I15" s="8">
        <f t="shared" si="2"/>
        <v>21</v>
      </c>
      <c r="K15" s="8" t="str">
        <f t="shared" si="3"/>
        <v>43972|Кемерово</v>
      </c>
    </row>
    <row r="16" ht="14.25" customHeight="1">
      <c r="A16" s="5">
        <v>43971.0</v>
      </c>
      <c r="B16" s="6" t="s">
        <v>10</v>
      </c>
      <c r="C16" s="6">
        <v>34077.0</v>
      </c>
      <c r="D16" s="6">
        <v>2929330.5</v>
      </c>
      <c r="E16" s="7">
        <f t="array" ref="E16">_xlfn.XLOOKUP($K16,
         'Лист2'!$G$2:$G$505,
         'Лист2'!$C$2:$C$505,
         "не найдено")</f>
        <v>21</v>
      </c>
      <c r="F16" s="7">
        <f t="array" ref="F16">_xlfn.XLOOKUP($K16,
         'Лист2'!$G$2:$G$505,
         'Лист2'!$D$2:$D$505,
         "не найдено")</f>
        <v>1921</v>
      </c>
      <c r="G16" s="7">
        <f t="array" ref="G16">_xlfn.XLOOKUP($K16,
         'Лист2'!$G$2:$G$505,
         'Лист2'!$D$2:$D$505,
         "не найдено")</f>
        <v>1921</v>
      </c>
      <c r="H16" s="8">
        <f t="shared" si="1"/>
        <v>139491.9286</v>
      </c>
      <c r="I16" s="8">
        <f t="shared" si="2"/>
        <v>21</v>
      </c>
      <c r="K16" s="8" t="str">
        <f t="shared" si="3"/>
        <v>43971|Кемерово</v>
      </c>
    </row>
    <row r="17" ht="14.25" customHeight="1">
      <c r="A17" s="10">
        <v>43956.0</v>
      </c>
      <c r="B17" s="11" t="s">
        <v>10</v>
      </c>
      <c r="C17" s="11">
        <v>31566.0</v>
      </c>
      <c r="D17" s="11">
        <v>2906763.0</v>
      </c>
      <c r="E17" s="7">
        <f t="array" ref="E17">_xlfn.XLOOKUP($K17,
         'Лист2'!$G$2:$G$505,
         'Лист2'!$C$2:$C$505,
         "не найдено")</f>
        <v>20</v>
      </c>
      <c r="F17" s="7">
        <f t="array" ref="F17">_xlfn.XLOOKUP($K17,
         'Лист2'!$G$2:$G$505,
         'Лист2'!$D$2:$D$505,
         "не найдено")</f>
        <v>1773</v>
      </c>
      <c r="G17" s="7">
        <f t="array" ref="G17">_xlfn.XLOOKUP($K17,
         'Лист2'!$G$2:$G$505,
         'Лист2'!$D$2:$D$505,
         "не найдено")</f>
        <v>1773</v>
      </c>
      <c r="H17" s="8">
        <f t="shared" si="1"/>
        <v>145338.15</v>
      </c>
      <c r="I17" s="8">
        <f t="shared" si="2"/>
        <v>19</v>
      </c>
      <c r="K17" s="8" t="str">
        <f t="shared" si="3"/>
        <v>43956|Кемерово</v>
      </c>
    </row>
    <row r="18" ht="14.25" customHeight="1">
      <c r="A18" s="5">
        <v>43949.0</v>
      </c>
      <c r="B18" s="6" t="s">
        <v>10</v>
      </c>
      <c r="C18" s="6">
        <v>26940.0</v>
      </c>
      <c r="D18" s="6">
        <v>2411587.5</v>
      </c>
      <c r="E18" s="7">
        <f t="array" ref="E18">_xlfn.XLOOKUP($K18,
         'Лист2'!$G$2:$G$505,
         'Лист2'!$C$2:$C$505,
         "не найдено")</f>
        <v>18</v>
      </c>
      <c r="F18" s="7">
        <f t="array" ref="F18">_xlfn.XLOOKUP($K18,
         'Лист2'!$G$2:$G$505,
         'Лист2'!$D$2:$D$505,
         "не найдено")</f>
        <v>1539</v>
      </c>
      <c r="G18" s="7">
        <f t="array" ref="G18">_xlfn.XLOOKUP($K18,
         'Лист2'!$G$2:$G$505,
         'Лист2'!$D$2:$D$505,
         "не найдено")</f>
        <v>1539</v>
      </c>
      <c r="H18" s="8">
        <f t="shared" si="1"/>
        <v>133977.0833</v>
      </c>
      <c r="I18" s="8">
        <f t="shared" si="2"/>
        <v>18</v>
      </c>
      <c r="K18" s="8" t="str">
        <f t="shared" si="3"/>
        <v>43949|Кемерово</v>
      </c>
    </row>
    <row r="19" ht="14.25" customHeight="1">
      <c r="A19" s="10">
        <v>43964.0</v>
      </c>
      <c r="B19" s="11" t="s">
        <v>10</v>
      </c>
      <c r="C19" s="11">
        <v>29241.0</v>
      </c>
      <c r="D19" s="11">
        <v>2629782.0</v>
      </c>
      <c r="E19" s="7">
        <f t="array" ref="E19">_xlfn.XLOOKUP($K19,
         'Лист2'!$G$2:$G$505,
         'Лист2'!$C$2:$C$505,
         "не найдено")</f>
        <v>21</v>
      </c>
      <c r="F19" s="7">
        <f t="array" ref="F19">_xlfn.XLOOKUP($K19,
         'Лист2'!$G$2:$G$505,
         'Лист2'!$D$2:$D$505,
         "не найдено")</f>
        <v>1698</v>
      </c>
      <c r="G19" s="7">
        <f t="array" ref="G19">_xlfn.XLOOKUP($K19,
         'Лист2'!$G$2:$G$505,
         'Лист2'!$D$2:$D$505,
         "не найдено")</f>
        <v>1698</v>
      </c>
      <c r="H19" s="8">
        <f t="shared" si="1"/>
        <v>125227.7143</v>
      </c>
      <c r="I19" s="8">
        <f t="shared" si="2"/>
        <v>20</v>
      </c>
      <c r="K19" s="8" t="str">
        <f t="shared" si="3"/>
        <v>43964|Кемерово</v>
      </c>
    </row>
    <row r="20" ht="14.25" customHeight="1">
      <c r="A20" s="5">
        <v>43954.0</v>
      </c>
      <c r="B20" s="6" t="s">
        <v>10</v>
      </c>
      <c r="C20" s="6">
        <v>26082.0</v>
      </c>
      <c r="D20" s="6">
        <v>2434914.0</v>
      </c>
      <c r="E20" s="7">
        <f t="array" ref="E20">_xlfn.XLOOKUP($K20,
         'Лист2'!$G$2:$G$505,
         'Лист2'!$C$2:$C$505,
         "не найдено")</f>
        <v>20</v>
      </c>
      <c r="F20" s="7">
        <f t="array" ref="F20">_xlfn.XLOOKUP($K20,
         'Лист2'!$G$2:$G$505,
         'Лист2'!$D$2:$D$505,
         "не найдено")</f>
        <v>1520</v>
      </c>
      <c r="G20" s="7">
        <f t="array" ref="G20">_xlfn.XLOOKUP($K20,
         'Лист2'!$G$2:$G$505,
         'Лист2'!$D$2:$D$505,
         "не найдено")</f>
        <v>1520</v>
      </c>
      <c r="H20" s="8">
        <f t="shared" si="1"/>
        <v>121745.7</v>
      </c>
      <c r="I20" s="8">
        <f t="shared" si="2"/>
        <v>18</v>
      </c>
      <c r="K20" s="8" t="str">
        <f t="shared" si="3"/>
        <v>43954|Кемерово</v>
      </c>
    </row>
    <row r="21" ht="14.25" customHeight="1">
      <c r="A21" s="10">
        <v>43957.0</v>
      </c>
      <c r="B21" s="11" t="s">
        <v>10</v>
      </c>
      <c r="C21" s="11">
        <v>32511.0</v>
      </c>
      <c r="D21" s="11">
        <v>2938623.0</v>
      </c>
      <c r="E21" s="7">
        <f t="array" ref="E21">_xlfn.XLOOKUP($K21,
         'Лист2'!$G$2:$G$505,
         'Лист2'!$C$2:$C$505,
         "не найдено")</f>
        <v>20</v>
      </c>
      <c r="F21" s="7">
        <f t="array" ref="F21">_xlfn.XLOOKUP($K21,
         'Лист2'!$G$2:$G$505,
         'Лист2'!$D$2:$D$505,
         "не найдено")</f>
        <v>1784</v>
      </c>
      <c r="G21" s="7">
        <f t="array" ref="G21">_xlfn.XLOOKUP($K21,
         'Лист2'!$G$2:$G$505,
         'Лист2'!$D$2:$D$505,
         "не найдено")</f>
        <v>1784</v>
      </c>
      <c r="H21" s="8">
        <f t="shared" si="1"/>
        <v>146931.15</v>
      </c>
      <c r="I21" s="8">
        <f t="shared" si="2"/>
        <v>19</v>
      </c>
      <c r="K21" s="8" t="str">
        <f t="shared" si="3"/>
        <v>43957|Кемерово</v>
      </c>
    </row>
    <row r="22" ht="14.25" customHeight="1">
      <c r="A22" s="5">
        <v>43974.0</v>
      </c>
      <c r="B22" s="6" t="s">
        <v>10</v>
      </c>
      <c r="C22" s="6">
        <v>42703.5</v>
      </c>
      <c r="D22" s="6">
        <v>3628726.5</v>
      </c>
      <c r="E22" s="7">
        <f t="array" ref="E22">_xlfn.XLOOKUP($K22,
         'Лист2'!$G$2:$G$505,
         'Лист2'!$C$2:$C$505,
         "не найдено")</f>
        <v>21</v>
      </c>
      <c r="F22" s="7">
        <f t="array" ref="F22">_xlfn.XLOOKUP($K22,
         'Лист2'!$G$2:$G$505,
         'Лист2'!$D$2:$D$505,
         "не найдено")</f>
        <v>2340</v>
      </c>
      <c r="G22" s="7">
        <f t="array" ref="G22">_xlfn.XLOOKUP($K22,
         'Лист2'!$G$2:$G$505,
         'Лист2'!$D$2:$D$505,
         "не найдено")</f>
        <v>2340</v>
      </c>
      <c r="H22" s="8">
        <f t="shared" si="1"/>
        <v>172796.5</v>
      </c>
      <c r="I22" s="8">
        <f t="shared" si="2"/>
        <v>21</v>
      </c>
      <c r="K22" s="8" t="str">
        <f t="shared" si="3"/>
        <v>43974|Кемерово</v>
      </c>
    </row>
    <row r="23" ht="14.25" customHeight="1">
      <c r="A23" s="10">
        <v>43976.0</v>
      </c>
      <c r="B23" s="11" t="s">
        <v>10</v>
      </c>
      <c r="C23" s="11">
        <v>35592.0</v>
      </c>
      <c r="D23" s="11">
        <v>3176580.0</v>
      </c>
      <c r="E23" s="7">
        <f t="array" ref="E23">_xlfn.XLOOKUP($K23,
         'Лист2'!$G$2:$G$505,
         'Лист2'!$C$2:$C$505,
         "не найдено")</f>
        <v>20</v>
      </c>
      <c r="F23" s="7">
        <f t="array" ref="F23">_xlfn.XLOOKUP($K23,
         'Лист2'!$G$2:$G$505,
         'Лист2'!$D$2:$D$505,
         "не найдено")</f>
        <v>2087</v>
      </c>
      <c r="G23" s="7">
        <f t="array" ref="G23">_xlfn.XLOOKUP($K23,
         'Лист2'!$G$2:$G$505,
         'Лист2'!$D$2:$D$505,
         "не найдено")</f>
        <v>2087</v>
      </c>
      <c r="H23" s="8">
        <f t="shared" si="1"/>
        <v>158829</v>
      </c>
      <c r="I23" s="8">
        <f t="shared" si="2"/>
        <v>22</v>
      </c>
      <c r="K23" s="8" t="str">
        <f t="shared" si="3"/>
        <v>43976|Кемерово</v>
      </c>
    </row>
    <row r="24" ht="14.25" customHeight="1">
      <c r="A24" s="5">
        <v>43951.0</v>
      </c>
      <c r="B24" s="6" t="s">
        <v>10</v>
      </c>
      <c r="C24" s="6">
        <v>30445.5</v>
      </c>
      <c r="D24" s="6">
        <v>2817196.5</v>
      </c>
      <c r="E24" s="7">
        <f t="array" ref="E24">_xlfn.XLOOKUP($K24,
         'Лист2'!$G$2:$G$505,
         'Лист2'!$C$2:$C$505,
         "не найдено")</f>
        <v>19</v>
      </c>
      <c r="F24" s="7">
        <f t="array" ref="F24">_xlfn.XLOOKUP($K24,
         'Лист2'!$G$2:$G$505,
         'Лист2'!$D$2:$D$505,
         "не найдено")</f>
        <v>1712</v>
      </c>
      <c r="G24" s="7">
        <f t="array" ref="G24">_xlfn.XLOOKUP($K24,
         'Лист2'!$G$2:$G$505,
         'Лист2'!$D$2:$D$505,
         "не найдено")</f>
        <v>1712</v>
      </c>
      <c r="H24" s="8">
        <f t="shared" si="1"/>
        <v>148273.5</v>
      </c>
      <c r="I24" s="8">
        <f t="shared" si="2"/>
        <v>18</v>
      </c>
      <c r="K24" s="8" t="str">
        <f t="shared" si="3"/>
        <v>43951|Кемерово</v>
      </c>
    </row>
    <row r="25" ht="14.25" customHeight="1">
      <c r="A25" s="10">
        <v>43961.0</v>
      </c>
      <c r="B25" s="11" t="s">
        <v>10</v>
      </c>
      <c r="C25" s="11">
        <v>36619.5</v>
      </c>
      <c r="D25" s="11">
        <v>3312967.5</v>
      </c>
      <c r="E25" s="7">
        <f t="array" ref="E25">_xlfn.XLOOKUP($K25,
         'Лист2'!$G$2:$G$505,
         'Лист2'!$C$2:$C$505,
         "не найдено")</f>
        <v>21</v>
      </c>
      <c r="F25" s="7">
        <f t="array" ref="F25">_xlfn.XLOOKUP($K25,
         'Лист2'!$G$2:$G$505,
         'Лист2'!$D$2:$D$505,
         "не найдено")</f>
        <v>2016</v>
      </c>
      <c r="G25" s="7">
        <f t="array" ref="G25">_xlfn.XLOOKUP($K25,
         'Лист2'!$G$2:$G$505,
         'Лист2'!$D$2:$D$505,
         "не найдено")</f>
        <v>2016</v>
      </c>
      <c r="H25" s="8">
        <f t="shared" si="1"/>
        <v>157760.3571</v>
      </c>
      <c r="I25" s="8">
        <f t="shared" si="2"/>
        <v>19</v>
      </c>
      <c r="K25" s="8" t="str">
        <f t="shared" si="3"/>
        <v>43961|Кемерово</v>
      </c>
    </row>
    <row r="26" ht="14.25" customHeight="1">
      <c r="A26" s="5">
        <v>43959.0</v>
      </c>
      <c r="B26" s="6" t="s">
        <v>10</v>
      </c>
      <c r="C26" s="6">
        <v>29409.0</v>
      </c>
      <c r="D26" s="6">
        <v>2645160.0</v>
      </c>
      <c r="E26" s="7">
        <f t="array" ref="E26">_xlfn.XLOOKUP($K26,
         'Лист2'!$G$2:$G$505,
         'Лист2'!$C$2:$C$505,
         "не найдено")</f>
        <v>21</v>
      </c>
      <c r="F26" s="7">
        <f t="array" ref="F26">_xlfn.XLOOKUP($K26,
         'Лист2'!$G$2:$G$505,
         'Лист2'!$D$2:$D$505,
         "не найдено")</f>
        <v>1646</v>
      </c>
      <c r="G26" s="7">
        <f t="array" ref="G26">_xlfn.XLOOKUP($K26,
         'Лист2'!$G$2:$G$505,
         'Лист2'!$D$2:$D$505,
         "не найдено")</f>
        <v>1646</v>
      </c>
      <c r="H26" s="8">
        <f t="shared" si="1"/>
        <v>125960</v>
      </c>
      <c r="I26" s="8">
        <f t="shared" si="2"/>
        <v>19</v>
      </c>
      <c r="K26" s="8" t="str">
        <f t="shared" si="3"/>
        <v>43959|Кемерово</v>
      </c>
    </row>
    <row r="27" ht="14.25" customHeight="1">
      <c r="A27" s="10">
        <v>43958.0</v>
      </c>
      <c r="B27" s="11" t="s">
        <v>10</v>
      </c>
      <c r="C27" s="11">
        <v>27018.0</v>
      </c>
      <c r="D27" s="11">
        <v>2472213.0</v>
      </c>
      <c r="E27" s="7">
        <f t="array" ref="E27">_xlfn.XLOOKUP($K27,
         'Лист2'!$G$2:$G$505,
         'Лист2'!$C$2:$C$505,
         "не найдено")</f>
        <v>21</v>
      </c>
      <c r="F27" s="7">
        <f t="array" ref="F27">_xlfn.XLOOKUP($K27,
         'Лист2'!$G$2:$G$505,
         'Лист2'!$D$2:$D$505,
         "не найдено")</f>
        <v>1542</v>
      </c>
      <c r="G27" s="7">
        <f t="array" ref="G27">_xlfn.XLOOKUP($K27,
         'Лист2'!$G$2:$G$505,
         'Лист2'!$D$2:$D$505,
         "не найдено")</f>
        <v>1542</v>
      </c>
      <c r="H27" s="8">
        <f t="shared" si="1"/>
        <v>117724.4286</v>
      </c>
      <c r="I27" s="8">
        <f t="shared" si="2"/>
        <v>19</v>
      </c>
      <c r="K27" s="8" t="str">
        <f t="shared" si="3"/>
        <v>43958|Кемерово</v>
      </c>
    </row>
    <row r="28" ht="14.25" customHeight="1">
      <c r="A28" s="5">
        <v>43975.0</v>
      </c>
      <c r="B28" s="6" t="s">
        <v>10</v>
      </c>
      <c r="C28" s="6">
        <v>34303.5</v>
      </c>
      <c r="D28" s="6">
        <v>2924746.5</v>
      </c>
      <c r="E28" s="7">
        <f t="array" ref="E28">_xlfn.XLOOKUP($K28,
         'Лист2'!$G$2:$G$505,
         'Лист2'!$C$2:$C$505,
         "не найдено")</f>
        <v>20</v>
      </c>
      <c r="F28" s="7">
        <f t="array" ref="F28">_xlfn.XLOOKUP($K28,
         'Лист2'!$G$2:$G$505,
         'Лист2'!$D$2:$D$505,
         "не найдено")</f>
        <v>1999</v>
      </c>
      <c r="G28" s="7">
        <f t="array" ref="G28">_xlfn.XLOOKUP($K28,
         'Лист2'!$G$2:$G$505,
         'Лист2'!$D$2:$D$505,
         "не найдено")</f>
        <v>1999</v>
      </c>
      <c r="H28" s="8">
        <f t="shared" si="1"/>
        <v>146237.325</v>
      </c>
      <c r="I28" s="8">
        <f t="shared" si="2"/>
        <v>21</v>
      </c>
      <c r="K28" s="8" t="str">
        <f t="shared" si="3"/>
        <v>43975|Кемерово</v>
      </c>
    </row>
    <row r="29" ht="14.25" customHeight="1">
      <c r="A29" s="10">
        <v>43982.0</v>
      </c>
      <c r="B29" s="11" t="s">
        <v>10</v>
      </c>
      <c r="C29" s="11">
        <v>36999.0</v>
      </c>
      <c r="D29" s="11">
        <v>3473895.0</v>
      </c>
      <c r="E29" s="7">
        <f t="array" ref="E29">_xlfn.XLOOKUP($K29,
         'Лист2'!$G$2:$G$505,
         'Лист2'!$C$2:$C$505,
         "не найдено")</f>
        <v>21</v>
      </c>
      <c r="F29" s="7">
        <f t="array" ref="F29">_xlfn.XLOOKUP($K29,
         'Лист2'!$G$2:$G$505,
         'Лист2'!$D$2:$D$505,
         "не найдено")</f>
        <v>2271</v>
      </c>
      <c r="G29" s="7">
        <f t="array" ref="G29">_xlfn.XLOOKUP($K29,
         'Лист2'!$G$2:$G$505,
         'Лист2'!$D$2:$D$505,
         "не найдено")</f>
        <v>2271</v>
      </c>
      <c r="H29" s="8">
        <f t="shared" si="1"/>
        <v>165423.5714</v>
      </c>
      <c r="I29" s="8">
        <f t="shared" si="2"/>
        <v>22</v>
      </c>
      <c r="K29" s="8" t="str">
        <f t="shared" si="3"/>
        <v>43982|Кемерово</v>
      </c>
    </row>
    <row r="30" ht="14.25" customHeight="1">
      <c r="A30" s="5">
        <v>43981.0</v>
      </c>
      <c r="B30" s="6" t="s">
        <v>10</v>
      </c>
      <c r="C30" s="6">
        <v>44001.0</v>
      </c>
      <c r="D30" s="6">
        <v>3921784.5</v>
      </c>
      <c r="E30" s="7">
        <f t="array" ref="E30">_xlfn.XLOOKUP($K30,
         'Лист2'!$G$2:$G$505,
         'Лист2'!$C$2:$C$505,
         "не найдено")</f>
        <v>20</v>
      </c>
      <c r="F30" s="7">
        <f t="array" ref="F30">_xlfn.XLOOKUP($K30,
         'Лист2'!$G$2:$G$505,
         'Лист2'!$D$2:$D$505,
         "не найдено")</f>
        <v>2597</v>
      </c>
      <c r="G30" s="7">
        <f t="array" ref="G30">_xlfn.XLOOKUP($K30,
         'Лист2'!$G$2:$G$505,
         'Лист2'!$D$2:$D$505,
         "не найдено")</f>
        <v>2597</v>
      </c>
      <c r="H30" s="8">
        <f t="shared" si="1"/>
        <v>196089.225</v>
      </c>
      <c r="I30" s="8">
        <f t="shared" si="2"/>
        <v>22</v>
      </c>
      <c r="K30" s="8" t="str">
        <f t="shared" si="3"/>
        <v>43981|Кемерово</v>
      </c>
    </row>
    <row r="31" ht="14.25" customHeight="1">
      <c r="A31" s="10">
        <v>43979.0</v>
      </c>
      <c r="B31" s="11" t="s">
        <v>10</v>
      </c>
      <c r="C31" s="11">
        <v>30982.5</v>
      </c>
      <c r="D31" s="11">
        <v>2827773.0</v>
      </c>
      <c r="E31" s="7">
        <f t="array" ref="E31">_xlfn.XLOOKUP($K31,
         'Лист2'!$G$2:$G$505,
         'Лист2'!$C$2:$C$505,
         "не найдено")</f>
        <v>20</v>
      </c>
      <c r="F31" s="7">
        <f t="array" ref="F31">_xlfn.XLOOKUP($K31,
         'Лист2'!$G$2:$G$505,
         'Лист2'!$D$2:$D$505,
         "не найдено")</f>
        <v>1886</v>
      </c>
      <c r="G31" s="7">
        <f t="array" ref="G31">_xlfn.XLOOKUP($K31,
         'Лист2'!$G$2:$G$505,
         'Лист2'!$D$2:$D$505,
         "не найдено")</f>
        <v>1886</v>
      </c>
      <c r="H31" s="8">
        <f t="shared" si="1"/>
        <v>141388.65</v>
      </c>
      <c r="I31" s="8">
        <f t="shared" si="2"/>
        <v>22</v>
      </c>
      <c r="K31" s="8" t="str">
        <f t="shared" si="3"/>
        <v>43979|Кемерово</v>
      </c>
    </row>
    <row r="32" ht="14.25" customHeight="1">
      <c r="A32" s="5">
        <v>43967.0</v>
      </c>
      <c r="B32" s="6" t="s">
        <v>17</v>
      </c>
      <c r="C32" s="6">
        <v>88063.5</v>
      </c>
      <c r="D32" s="6">
        <v>7583758.5</v>
      </c>
      <c r="E32" s="7">
        <f t="array" ref="E32">_xlfn.XLOOKUP($K32,
         'Лист2'!$G$2:$G$505,
         'Лист2'!$C$2:$C$505,
         "не найдено")</f>
        <v>31</v>
      </c>
      <c r="F32" s="7">
        <f t="array" ref="F32">_xlfn.XLOOKUP($K32,
         'Лист2'!$G$2:$G$505,
         'Лист2'!$D$2:$D$505,
         "не найдено")</f>
        <v>5593</v>
      </c>
      <c r="G32" s="7">
        <f t="array" ref="G32">_xlfn.XLOOKUP($K32,
         'Лист2'!$G$2:$G$505,
         'Лист2'!$D$2:$D$505,
         "не найдено")</f>
        <v>5593</v>
      </c>
      <c r="H32" s="8">
        <f t="shared" si="1"/>
        <v>244637.371</v>
      </c>
      <c r="I32" s="8">
        <f t="shared" si="2"/>
        <v>20</v>
      </c>
      <c r="K32" s="8" t="str">
        <f t="shared" si="3"/>
        <v>43967|Екатеринбург</v>
      </c>
    </row>
    <row r="33" ht="14.25" customHeight="1">
      <c r="A33" s="10">
        <v>43970.0</v>
      </c>
      <c r="B33" s="11" t="s">
        <v>17</v>
      </c>
      <c r="C33" s="11">
        <v>84024.0</v>
      </c>
      <c r="D33" s="11">
        <v>6815511.0</v>
      </c>
      <c r="E33" s="7">
        <f t="array" ref="E33">_xlfn.XLOOKUP($K33,
         'Лист2'!$G$2:$G$505,
         'Лист2'!$C$2:$C$505,
         "не найдено")</f>
        <v>31</v>
      </c>
      <c r="F33" s="7">
        <f t="array" ref="F33">_xlfn.XLOOKUP($K33,
         'Лист2'!$G$2:$G$505,
         'Лист2'!$D$2:$D$505,
         "не найдено")</f>
        <v>5389</v>
      </c>
      <c r="G33" s="7">
        <f t="array" ref="G33">_xlfn.XLOOKUP($K33,
         'Лист2'!$G$2:$G$505,
         'Лист2'!$D$2:$D$505,
         "не найдено")</f>
        <v>5389</v>
      </c>
      <c r="H33" s="8">
        <f t="shared" si="1"/>
        <v>219855.1935</v>
      </c>
      <c r="I33" s="8">
        <f t="shared" si="2"/>
        <v>21</v>
      </c>
      <c r="K33" s="8" t="str">
        <f t="shared" si="3"/>
        <v>43970|Екатеринбург</v>
      </c>
    </row>
    <row r="34" ht="14.25" customHeight="1">
      <c r="A34" s="5">
        <v>43968.0</v>
      </c>
      <c r="B34" s="6" t="s">
        <v>17</v>
      </c>
      <c r="C34" s="6">
        <v>78057.0</v>
      </c>
      <c r="D34" s="6">
        <v>6774946.5</v>
      </c>
      <c r="E34" s="7">
        <f t="array" ref="E34">_xlfn.XLOOKUP($K34,
         'Лист2'!$G$2:$G$505,
         'Лист2'!$C$2:$C$505,
         "не найдено")</f>
        <v>31</v>
      </c>
      <c r="F34" s="7">
        <f t="array" ref="F34">_xlfn.XLOOKUP($K34,
         'Лист2'!$G$2:$G$505,
         'Лист2'!$D$2:$D$505,
         "не найдено")</f>
        <v>5206</v>
      </c>
      <c r="G34" s="7">
        <f t="array" ref="G34">_xlfn.XLOOKUP($K34,
         'Лист2'!$G$2:$G$505,
         'Лист2'!$D$2:$D$505,
         "не найдено")</f>
        <v>5206</v>
      </c>
      <c r="H34" s="8">
        <f t="shared" si="1"/>
        <v>218546.6613</v>
      </c>
      <c r="I34" s="8">
        <f t="shared" si="2"/>
        <v>20</v>
      </c>
      <c r="K34" s="8" t="str">
        <f t="shared" si="3"/>
        <v>43968|Екатеринбург</v>
      </c>
    </row>
    <row r="35" ht="14.25" customHeight="1">
      <c r="A35" s="10">
        <v>43960.0</v>
      </c>
      <c r="B35" s="11" t="s">
        <v>17</v>
      </c>
      <c r="C35" s="11">
        <v>69720.0</v>
      </c>
      <c r="D35" s="11">
        <v>6264933.0</v>
      </c>
      <c r="E35" s="7">
        <f t="array" ref="E35">_xlfn.XLOOKUP($K35,
         'Лист2'!$G$2:$G$505,
         'Лист2'!$C$2:$C$505,
         "не найдено")</f>
        <v>31</v>
      </c>
      <c r="F35" s="7">
        <f t="array" ref="F35">_xlfn.XLOOKUP($K35,
         'Лист2'!$G$2:$G$505,
         'Лист2'!$D$2:$D$505,
         "не найдено")</f>
        <v>4556</v>
      </c>
      <c r="G35" s="7">
        <f t="array" ref="G35">_xlfn.XLOOKUP($K35,
         'Лист2'!$G$2:$G$505,
         'Лист2'!$D$2:$D$505,
         "не найдено")</f>
        <v>4556</v>
      </c>
      <c r="H35" s="8">
        <f t="shared" si="1"/>
        <v>202094.6129</v>
      </c>
      <c r="I35" s="8">
        <f t="shared" si="2"/>
        <v>19</v>
      </c>
      <c r="K35" s="8" t="str">
        <f t="shared" si="3"/>
        <v>43960|Екатеринбург</v>
      </c>
    </row>
    <row r="36" ht="14.25" customHeight="1">
      <c r="A36" s="5">
        <v>43955.0</v>
      </c>
      <c r="B36" s="6" t="s">
        <v>17</v>
      </c>
      <c r="C36" s="6">
        <v>72928.5</v>
      </c>
      <c r="D36" s="6">
        <v>6642249.0</v>
      </c>
      <c r="E36" s="7">
        <f t="array" ref="E36">_xlfn.XLOOKUP($K36,
         'Лист2'!$G$2:$G$505,
         'Лист2'!$C$2:$C$505,
         "не найдено")</f>
        <v>31</v>
      </c>
      <c r="F36" s="7">
        <f t="array" ref="F36">_xlfn.XLOOKUP($K36,
         'Лист2'!$G$2:$G$505,
         'Лист2'!$D$2:$D$505,
         "не найдено")</f>
        <v>4968</v>
      </c>
      <c r="G36" s="7">
        <f t="array" ref="G36">_xlfn.XLOOKUP($K36,
         'Лист2'!$G$2:$G$505,
         'Лист2'!$D$2:$D$505,
         "не найдено")</f>
        <v>4968</v>
      </c>
      <c r="H36" s="8">
        <f t="shared" si="1"/>
        <v>214266.0968</v>
      </c>
      <c r="I36" s="8">
        <f t="shared" si="2"/>
        <v>19</v>
      </c>
      <c r="K36" s="8" t="str">
        <f t="shared" si="3"/>
        <v>43955|Екатеринбург</v>
      </c>
    </row>
    <row r="37" ht="14.25" customHeight="1">
      <c r="A37" s="10">
        <v>43950.0</v>
      </c>
      <c r="B37" s="11" t="s">
        <v>17</v>
      </c>
      <c r="C37" s="11">
        <v>79527.0</v>
      </c>
      <c r="D37" s="11">
        <v>7180498.5</v>
      </c>
      <c r="E37" s="7">
        <f t="array" ref="E37">_xlfn.XLOOKUP($K37,
         'Лист2'!$G$2:$G$505,
         'Лист2'!$C$2:$C$505,
         "не найдено")</f>
        <v>31</v>
      </c>
      <c r="F37" s="7">
        <f t="array" ref="F37">_xlfn.XLOOKUP($K37,
         'Лист2'!$G$2:$G$505,
         'Лист2'!$D$2:$D$505,
         "не найдено")</f>
        <v>5378</v>
      </c>
      <c r="G37" s="7">
        <f t="array" ref="G37">_xlfn.XLOOKUP($K37,
         'Лист2'!$G$2:$G$505,
         'Лист2'!$D$2:$D$505,
         "не найдено")</f>
        <v>5378</v>
      </c>
      <c r="H37" s="8">
        <f t="shared" si="1"/>
        <v>231628.9839</v>
      </c>
      <c r="I37" s="8">
        <f t="shared" si="2"/>
        <v>18</v>
      </c>
      <c r="K37" s="8" t="str">
        <f t="shared" si="3"/>
        <v>43950|Екатеринбург</v>
      </c>
    </row>
    <row r="38" ht="14.25" customHeight="1">
      <c r="A38" s="5">
        <v>43953.0</v>
      </c>
      <c r="B38" s="6" t="s">
        <v>17</v>
      </c>
      <c r="C38" s="6">
        <v>60463.5</v>
      </c>
      <c r="D38" s="6">
        <v>5554192.5</v>
      </c>
      <c r="E38" s="7">
        <f t="array" ref="E38">_xlfn.XLOOKUP($K38,
         'Лист2'!$G$2:$G$505,
         'Лист2'!$C$2:$C$505,
         "не найдено")</f>
        <v>31</v>
      </c>
      <c r="F38" s="7">
        <f t="array" ref="F38">_xlfn.XLOOKUP($K38,
         'Лист2'!$G$2:$G$505,
         'Лист2'!$D$2:$D$505,
         "не найдено")</f>
        <v>4157</v>
      </c>
      <c r="G38" s="7">
        <f t="array" ref="G38">_xlfn.XLOOKUP($K38,
         'Лист2'!$G$2:$G$505,
         'Лист2'!$D$2:$D$505,
         "не найдено")</f>
        <v>4157</v>
      </c>
      <c r="H38" s="8">
        <f t="shared" si="1"/>
        <v>179167.5</v>
      </c>
      <c r="I38" s="8">
        <f t="shared" si="2"/>
        <v>18</v>
      </c>
      <c r="K38" s="8" t="str">
        <f t="shared" si="3"/>
        <v>43953|Екатеринбург</v>
      </c>
    </row>
    <row r="39" ht="14.25" customHeight="1">
      <c r="A39" s="10">
        <v>43977.0</v>
      </c>
      <c r="B39" s="11" t="s">
        <v>17</v>
      </c>
      <c r="C39" s="11">
        <v>79975.5</v>
      </c>
      <c r="D39" s="11">
        <v>6676459.5</v>
      </c>
      <c r="E39" s="7">
        <f t="array" ref="E39">_xlfn.XLOOKUP($K39,
         'Лист2'!$G$2:$G$505,
         'Лист2'!$C$2:$C$505,
         "не найдено")</f>
        <v>31</v>
      </c>
      <c r="F39" s="7">
        <f t="array" ref="F39">_xlfn.XLOOKUP($K39,
         'Лист2'!$G$2:$G$505,
         'Лист2'!$D$2:$D$505,
         "не найдено")</f>
        <v>5493</v>
      </c>
      <c r="G39" s="7">
        <f t="array" ref="G39">_xlfn.XLOOKUP($K39,
         'Лист2'!$G$2:$G$505,
         'Лист2'!$D$2:$D$505,
         "не найдено")</f>
        <v>5493</v>
      </c>
      <c r="H39" s="8">
        <f t="shared" si="1"/>
        <v>215369.6613</v>
      </c>
      <c r="I39" s="8">
        <f t="shared" si="2"/>
        <v>22</v>
      </c>
      <c r="K39" s="8" t="str">
        <f t="shared" si="3"/>
        <v>43977|Екатеринбург</v>
      </c>
    </row>
    <row r="40" ht="14.25" customHeight="1">
      <c r="A40" s="5">
        <v>43952.0</v>
      </c>
      <c r="B40" s="6" t="s">
        <v>17</v>
      </c>
      <c r="C40" s="6">
        <v>97534.5</v>
      </c>
      <c r="D40" s="6">
        <v>8893024.5</v>
      </c>
      <c r="E40" s="7">
        <f t="array" ref="E40">_xlfn.XLOOKUP($K40,
         'Лист2'!$G$2:$G$505,
         'Лист2'!$C$2:$C$505,
         "не найдено")</f>
        <v>31</v>
      </c>
      <c r="F40" s="7">
        <f t="array" ref="F40">_xlfn.XLOOKUP($K40,
         'Лист2'!$G$2:$G$505,
         'Лист2'!$D$2:$D$505,
         "не найдено")</f>
        <v>6118</v>
      </c>
      <c r="G40" s="7">
        <f t="array" ref="G40">_xlfn.XLOOKUP($K40,
         'Лист2'!$G$2:$G$505,
         'Лист2'!$D$2:$D$505,
         "не найдено")</f>
        <v>6118</v>
      </c>
      <c r="H40" s="8">
        <f t="shared" si="1"/>
        <v>286871.7581</v>
      </c>
      <c r="I40" s="8">
        <f t="shared" si="2"/>
        <v>18</v>
      </c>
      <c r="K40" s="8" t="str">
        <f t="shared" si="3"/>
        <v>43952|Екатеринбург</v>
      </c>
    </row>
    <row r="41" ht="14.25" customHeight="1">
      <c r="A41" s="10">
        <v>43963.0</v>
      </c>
      <c r="B41" s="11" t="s">
        <v>17</v>
      </c>
      <c r="C41" s="11">
        <v>71520.0</v>
      </c>
      <c r="D41" s="11">
        <v>6398361.0</v>
      </c>
      <c r="E41" s="7">
        <f t="array" ref="E41">_xlfn.XLOOKUP($K41,
         'Лист2'!$G$2:$G$505,
         'Лист2'!$C$2:$C$505,
         "не найдено")</f>
        <v>31</v>
      </c>
      <c r="F41" s="7">
        <f t="array" ref="F41">_xlfn.XLOOKUP($K41,
         'Лист2'!$G$2:$G$505,
         'Лист2'!$D$2:$D$505,
         "не найдено")</f>
        <v>4800</v>
      </c>
      <c r="G41" s="7">
        <f t="array" ref="G41">_xlfn.XLOOKUP($K41,
         'Лист2'!$G$2:$G$505,
         'Лист2'!$D$2:$D$505,
         "не найдено")</f>
        <v>4800</v>
      </c>
      <c r="H41" s="8">
        <f t="shared" si="1"/>
        <v>206398.7419</v>
      </c>
      <c r="I41" s="8">
        <f t="shared" si="2"/>
        <v>20</v>
      </c>
      <c r="K41" s="8" t="str">
        <f t="shared" si="3"/>
        <v>43963|Екатеринбург</v>
      </c>
    </row>
    <row r="42" ht="14.25" customHeight="1">
      <c r="A42" s="5">
        <v>43972.0</v>
      </c>
      <c r="B42" s="6" t="s">
        <v>17</v>
      </c>
      <c r="C42" s="6">
        <v>79485.0</v>
      </c>
      <c r="D42" s="6">
        <v>6633847.5</v>
      </c>
      <c r="E42" s="7">
        <f t="array" ref="E42">_xlfn.XLOOKUP($K42,
         'Лист2'!$G$2:$G$505,
         'Лист2'!$C$2:$C$505,
         "не найдено")</f>
        <v>31</v>
      </c>
      <c r="F42" s="7">
        <f t="array" ref="F42">_xlfn.XLOOKUP($K42,
         'Лист2'!$G$2:$G$505,
         'Лист2'!$D$2:$D$505,
         "не найдено")</f>
        <v>5207</v>
      </c>
      <c r="G42" s="7">
        <f t="array" ref="G42">_xlfn.XLOOKUP($K42,
         'Лист2'!$G$2:$G$505,
         'Лист2'!$D$2:$D$505,
         "не найдено")</f>
        <v>5207</v>
      </c>
      <c r="H42" s="8">
        <f t="shared" si="1"/>
        <v>213995.0806</v>
      </c>
      <c r="I42" s="8">
        <f t="shared" si="2"/>
        <v>21</v>
      </c>
      <c r="K42" s="8" t="str">
        <f t="shared" si="3"/>
        <v>43972|Екатеринбург</v>
      </c>
    </row>
    <row r="43" ht="14.25" customHeight="1">
      <c r="A43" s="10">
        <v>43971.0</v>
      </c>
      <c r="B43" s="11" t="s">
        <v>17</v>
      </c>
      <c r="C43" s="11">
        <v>93313.5</v>
      </c>
      <c r="D43" s="11">
        <v>7247575.5</v>
      </c>
      <c r="E43" s="7">
        <f t="array" ref="E43">_xlfn.XLOOKUP($K43,
         'Лист2'!$G$2:$G$505,
         'Лист2'!$C$2:$C$505,
         "не найдено")</f>
        <v>31</v>
      </c>
      <c r="F43" s="7">
        <f t="array" ref="F43">_xlfn.XLOOKUP($K43,
         'Лист2'!$G$2:$G$505,
         'Лист2'!$D$2:$D$505,
         "не найдено")</f>
        <v>5698</v>
      </c>
      <c r="G43" s="7">
        <f t="array" ref="G43">_xlfn.XLOOKUP($K43,
         'Лист2'!$G$2:$G$505,
         'Лист2'!$D$2:$D$505,
         "не найдено")</f>
        <v>5698</v>
      </c>
      <c r="H43" s="8">
        <f t="shared" si="1"/>
        <v>233792.7581</v>
      </c>
      <c r="I43" s="8">
        <f t="shared" si="2"/>
        <v>21</v>
      </c>
      <c r="K43" s="8" t="str">
        <f t="shared" si="3"/>
        <v>43971|Екатеринбург</v>
      </c>
    </row>
    <row r="44" ht="14.25" customHeight="1">
      <c r="A44" s="5">
        <v>43956.0</v>
      </c>
      <c r="B44" s="6" t="s">
        <v>17</v>
      </c>
      <c r="C44" s="6">
        <v>76585.5</v>
      </c>
      <c r="D44" s="6">
        <v>6921316.5</v>
      </c>
      <c r="E44" s="7">
        <f t="array" ref="E44">_xlfn.XLOOKUP($K44,
         'Лист2'!$G$2:$G$505,
         'Лист2'!$C$2:$C$505,
         "не найдено")</f>
        <v>31</v>
      </c>
      <c r="F44" s="7">
        <f t="array" ref="F44">_xlfn.XLOOKUP($K44,
         'Лист2'!$G$2:$G$505,
         'Лист2'!$D$2:$D$505,
         "не найдено")</f>
        <v>5188</v>
      </c>
      <c r="G44" s="7">
        <f t="array" ref="G44">_xlfn.XLOOKUP($K44,
         'Лист2'!$G$2:$G$505,
         'Лист2'!$D$2:$D$505,
         "не найдено")</f>
        <v>5188</v>
      </c>
      <c r="H44" s="8">
        <f t="shared" si="1"/>
        <v>223268.2742</v>
      </c>
      <c r="I44" s="8">
        <f t="shared" si="2"/>
        <v>19</v>
      </c>
      <c r="K44" s="8" t="str">
        <f t="shared" si="3"/>
        <v>43956|Екатеринбург</v>
      </c>
    </row>
    <row r="45" ht="14.25" customHeight="1">
      <c r="A45" s="10">
        <v>43949.0</v>
      </c>
      <c r="B45" s="11" t="s">
        <v>17</v>
      </c>
      <c r="C45" s="11">
        <v>81826.5</v>
      </c>
      <c r="D45" s="11">
        <v>7163644.5</v>
      </c>
      <c r="E45" s="7">
        <f t="array" ref="E45">_xlfn.XLOOKUP($K45,
         'Лист2'!$G$2:$G$505,
         'Лист2'!$C$2:$C$505,
         "не найдено")</f>
        <v>31</v>
      </c>
      <c r="F45" s="7">
        <f t="array" ref="F45">_xlfn.XLOOKUP($K45,
         'Лист2'!$G$2:$G$505,
         'Лист2'!$D$2:$D$505,
         "не найдено")</f>
        <v>5465</v>
      </c>
      <c r="G45" s="7">
        <f t="array" ref="G45">_xlfn.XLOOKUP($K45,
         'Лист2'!$G$2:$G$505,
         'Лист2'!$D$2:$D$505,
         "не найдено")</f>
        <v>5465</v>
      </c>
      <c r="H45" s="8">
        <f t="shared" si="1"/>
        <v>231085.3065</v>
      </c>
      <c r="I45" s="8">
        <f t="shared" si="2"/>
        <v>18</v>
      </c>
      <c r="K45" s="8" t="str">
        <f t="shared" si="3"/>
        <v>43949|Екатеринбург</v>
      </c>
    </row>
    <row r="46" ht="14.25" customHeight="1">
      <c r="A46" s="5">
        <v>43964.0</v>
      </c>
      <c r="B46" s="6" t="s">
        <v>17</v>
      </c>
      <c r="C46" s="6">
        <v>78846.0</v>
      </c>
      <c r="D46" s="6">
        <v>6993952.5</v>
      </c>
      <c r="E46" s="7">
        <f t="array" ref="E46">_xlfn.XLOOKUP($K46,
         'Лист2'!$G$2:$G$505,
         'Лист2'!$C$2:$C$505,
         "не найдено")</f>
        <v>31</v>
      </c>
      <c r="F46" s="7">
        <f t="array" ref="F46">_xlfn.XLOOKUP($K46,
         'Лист2'!$G$2:$G$505,
         'Лист2'!$D$2:$D$505,
         "не найдено")</f>
        <v>5251</v>
      </c>
      <c r="G46" s="7">
        <f t="array" ref="G46">_xlfn.XLOOKUP($K46,
         'Лист2'!$G$2:$G$505,
         'Лист2'!$D$2:$D$505,
         "не найдено")</f>
        <v>5251</v>
      </c>
      <c r="H46" s="8">
        <f t="shared" si="1"/>
        <v>225611.371</v>
      </c>
      <c r="I46" s="8">
        <f t="shared" si="2"/>
        <v>20</v>
      </c>
      <c r="K46" s="8" t="str">
        <f t="shared" si="3"/>
        <v>43964|Екатеринбург</v>
      </c>
    </row>
    <row r="47" ht="14.25" customHeight="1">
      <c r="A47" s="10">
        <v>43954.0</v>
      </c>
      <c r="B47" s="11" t="s">
        <v>17</v>
      </c>
      <c r="C47" s="11">
        <v>77263.5</v>
      </c>
      <c r="D47" s="11">
        <v>7013670.0</v>
      </c>
      <c r="E47" s="7">
        <f t="array" ref="E47">_xlfn.XLOOKUP($K47,
         'Лист2'!$G$2:$G$505,
         'Лист2'!$C$2:$C$505,
         "не найдено")</f>
        <v>31</v>
      </c>
      <c r="F47" s="7">
        <f t="array" ref="F47">_xlfn.XLOOKUP($K47,
         'Лист2'!$G$2:$G$505,
         'Лист2'!$D$2:$D$505,
         "не найдено")</f>
        <v>5155</v>
      </c>
      <c r="G47" s="7">
        <f t="array" ref="G47">_xlfn.XLOOKUP($K47,
         'Лист2'!$G$2:$G$505,
         'Лист2'!$D$2:$D$505,
         "не найдено")</f>
        <v>5155</v>
      </c>
      <c r="H47" s="8">
        <f t="shared" si="1"/>
        <v>226247.4194</v>
      </c>
      <c r="I47" s="8">
        <f t="shared" si="2"/>
        <v>18</v>
      </c>
      <c r="K47" s="8" t="str">
        <f t="shared" si="3"/>
        <v>43954|Екатеринбург</v>
      </c>
    </row>
    <row r="48" ht="14.25" customHeight="1">
      <c r="A48" s="5">
        <v>43957.0</v>
      </c>
      <c r="B48" s="6" t="s">
        <v>17</v>
      </c>
      <c r="C48" s="6">
        <v>68994.0</v>
      </c>
      <c r="D48" s="6">
        <v>6168657.0</v>
      </c>
      <c r="E48" s="7">
        <f t="array" ref="E48">_xlfn.XLOOKUP($K48,
         'Лист2'!$G$2:$G$505,
         'Лист2'!$C$2:$C$505,
         "не найдено")</f>
        <v>31</v>
      </c>
      <c r="F48" s="7">
        <f t="array" ref="F48">_xlfn.XLOOKUP($K48,
         'Лист2'!$G$2:$G$505,
         'Лист2'!$D$2:$D$505,
         "не найдено")</f>
        <v>4709</v>
      </c>
      <c r="G48" s="7">
        <f t="array" ref="G48">_xlfn.XLOOKUP($K48,
         'Лист2'!$G$2:$G$505,
         'Лист2'!$D$2:$D$505,
         "не найдено")</f>
        <v>4709</v>
      </c>
      <c r="H48" s="8">
        <f t="shared" si="1"/>
        <v>198988.9355</v>
      </c>
      <c r="I48" s="8">
        <f t="shared" si="2"/>
        <v>19</v>
      </c>
      <c r="K48" s="8" t="str">
        <f t="shared" si="3"/>
        <v>43957|Екатеринбург</v>
      </c>
    </row>
    <row r="49" ht="14.25" customHeight="1">
      <c r="A49" s="10">
        <v>43974.0</v>
      </c>
      <c r="B49" s="11" t="s">
        <v>17</v>
      </c>
      <c r="C49" s="11">
        <v>102889.5</v>
      </c>
      <c r="D49" s="11">
        <v>8089143.0</v>
      </c>
      <c r="E49" s="7">
        <f t="array" ref="E49">_xlfn.XLOOKUP($K49,
         'Лист2'!$G$2:$G$505,
         'Лист2'!$C$2:$C$505,
         "не найдено")</f>
        <v>31</v>
      </c>
      <c r="F49" s="7">
        <f t="array" ref="F49">_xlfn.XLOOKUP($K49,
         'Лист2'!$G$2:$G$505,
         'Лист2'!$D$2:$D$505,
         "не найдено")</f>
        <v>6276</v>
      </c>
      <c r="G49" s="7">
        <f t="array" ref="G49">_xlfn.XLOOKUP($K49,
         'Лист2'!$G$2:$G$505,
         'Лист2'!$D$2:$D$505,
         "не найдено")</f>
        <v>6276</v>
      </c>
      <c r="H49" s="8">
        <f t="shared" si="1"/>
        <v>260940.0968</v>
      </c>
      <c r="I49" s="8">
        <f t="shared" si="2"/>
        <v>21</v>
      </c>
      <c r="K49" s="8" t="str">
        <f t="shared" si="3"/>
        <v>43974|Екатеринбург</v>
      </c>
    </row>
    <row r="50" ht="14.25" customHeight="1">
      <c r="A50" s="5">
        <v>43976.0</v>
      </c>
      <c r="B50" s="6" t="s">
        <v>17</v>
      </c>
      <c r="C50" s="6">
        <v>76999.5</v>
      </c>
      <c r="D50" s="6">
        <v>6645603.0</v>
      </c>
      <c r="E50" s="7">
        <f t="array" ref="E50">_xlfn.XLOOKUP($K50,
         'Лист2'!$G$2:$G$505,
         'Лист2'!$C$2:$C$505,
         "не найдено")</f>
        <v>31</v>
      </c>
      <c r="F50" s="7">
        <f t="array" ref="F50">_xlfn.XLOOKUP($K50,
         'Лист2'!$G$2:$G$505,
         'Лист2'!$D$2:$D$505,
         "не найдено")</f>
        <v>5210</v>
      </c>
      <c r="G50" s="7">
        <f t="array" ref="G50">_xlfn.XLOOKUP($K50,
         'Лист2'!$G$2:$G$505,
         'Лист2'!$D$2:$D$505,
         "не найдено")</f>
        <v>5210</v>
      </c>
      <c r="H50" s="8">
        <f t="shared" si="1"/>
        <v>214374.2903</v>
      </c>
      <c r="I50" s="8">
        <f t="shared" si="2"/>
        <v>22</v>
      </c>
      <c r="K50" s="8" t="str">
        <f t="shared" si="3"/>
        <v>43976|Екатеринбург</v>
      </c>
    </row>
    <row r="51" ht="14.25" customHeight="1">
      <c r="A51" s="10">
        <v>43951.0</v>
      </c>
      <c r="B51" s="11" t="s">
        <v>17</v>
      </c>
      <c r="C51" s="11">
        <v>77565.0</v>
      </c>
      <c r="D51" s="11">
        <v>7023727.5</v>
      </c>
      <c r="E51" s="7">
        <f t="array" ref="E51">_xlfn.XLOOKUP($K51,
         'Лист2'!$G$2:$G$505,
         'Лист2'!$C$2:$C$505,
         "не найдено")</f>
        <v>31</v>
      </c>
      <c r="F51" s="7">
        <f t="array" ref="F51">_xlfn.XLOOKUP($K51,
         'Лист2'!$G$2:$G$505,
         'Лист2'!$D$2:$D$505,
         "не найдено")</f>
        <v>5120</v>
      </c>
      <c r="G51" s="7">
        <f t="array" ref="G51">_xlfn.XLOOKUP($K51,
         'Лист2'!$G$2:$G$505,
         'Лист2'!$D$2:$D$505,
         "не найдено")</f>
        <v>5120</v>
      </c>
      <c r="H51" s="8">
        <f t="shared" si="1"/>
        <v>226571.8548</v>
      </c>
      <c r="I51" s="8">
        <f t="shared" si="2"/>
        <v>18</v>
      </c>
      <c r="K51" s="8" t="str">
        <f t="shared" si="3"/>
        <v>43951|Екатеринбург</v>
      </c>
    </row>
    <row r="52" ht="14.25" customHeight="1">
      <c r="A52" s="5">
        <v>43961.0</v>
      </c>
      <c r="B52" s="6" t="s">
        <v>17</v>
      </c>
      <c r="C52" s="6">
        <v>84132.0</v>
      </c>
      <c r="D52" s="6">
        <v>7483194.0</v>
      </c>
      <c r="E52" s="7">
        <f t="array" ref="E52">_xlfn.XLOOKUP($K52,
         'Лист2'!$G$2:$G$505,
         'Лист2'!$C$2:$C$505,
         "не найдено")</f>
        <v>31</v>
      </c>
      <c r="F52" s="7">
        <f t="array" ref="F52">_xlfn.XLOOKUP($K52,
         'Лист2'!$G$2:$G$505,
         'Лист2'!$D$2:$D$505,
         "не найдено")</f>
        <v>5495</v>
      </c>
      <c r="G52" s="7">
        <f t="array" ref="G52">_xlfn.XLOOKUP($K52,
         'Лист2'!$G$2:$G$505,
         'Лист2'!$D$2:$D$505,
         "не найдено")</f>
        <v>5495</v>
      </c>
      <c r="H52" s="8">
        <f t="shared" si="1"/>
        <v>241393.3548</v>
      </c>
      <c r="I52" s="8">
        <f t="shared" si="2"/>
        <v>19</v>
      </c>
      <c r="K52" s="8" t="str">
        <f t="shared" si="3"/>
        <v>43961|Екатеринбург</v>
      </c>
    </row>
    <row r="53" ht="14.25" customHeight="1">
      <c r="A53" s="10">
        <v>43959.0</v>
      </c>
      <c r="B53" s="11" t="s">
        <v>17</v>
      </c>
      <c r="C53" s="11">
        <v>69544.5</v>
      </c>
      <c r="D53" s="11">
        <v>6293776.5</v>
      </c>
      <c r="E53" s="7">
        <f t="array" ref="E53">_xlfn.XLOOKUP($K53,
         'Лист2'!$G$2:$G$505,
         'Лист2'!$C$2:$C$505,
         "не найдено")</f>
        <v>31</v>
      </c>
      <c r="F53" s="7">
        <f t="array" ref="F53">_xlfn.XLOOKUP($K53,
         'Лист2'!$G$2:$G$505,
         'Лист2'!$D$2:$D$505,
         "не найдено")</f>
        <v>4635</v>
      </c>
      <c r="G53" s="7">
        <f t="array" ref="G53">_xlfn.XLOOKUP($K53,
         'Лист2'!$G$2:$G$505,
         'Лист2'!$D$2:$D$505,
         "не найдено")</f>
        <v>4635</v>
      </c>
      <c r="H53" s="8">
        <f t="shared" si="1"/>
        <v>203025.0484</v>
      </c>
      <c r="I53" s="8">
        <f t="shared" si="2"/>
        <v>19</v>
      </c>
      <c r="K53" s="8" t="str">
        <f t="shared" si="3"/>
        <v>43959|Екатеринбург</v>
      </c>
    </row>
    <row r="54" ht="14.25" customHeight="1">
      <c r="A54" s="5">
        <v>43958.0</v>
      </c>
      <c r="B54" s="6" t="s">
        <v>17</v>
      </c>
      <c r="C54" s="6">
        <v>73204.5</v>
      </c>
      <c r="D54" s="6">
        <v>6591883.5</v>
      </c>
      <c r="E54" s="7">
        <f t="array" ref="E54">_xlfn.XLOOKUP($K54,
         'Лист2'!$G$2:$G$505,
         'Лист2'!$C$2:$C$505,
         "не найдено")</f>
        <v>31</v>
      </c>
      <c r="F54" s="7">
        <f t="array" ref="F54">_xlfn.XLOOKUP($K54,
         'Лист2'!$G$2:$G$505,
         'Лист2'!$D$2:$D$505,
         "не найдено")</f>
        <v>4903</v>
      </c>
      <c r="G54" s="7">
        <f t="array" ref="G54">_xlfn.XLOOKUP($K54,
         'Лист2'!$G$2:$G$505,
         'Лист2'!$D$2:$D$505,
         "не найдено")</f>
        <v>4903</v>
      </c>
      <c r="H54" s="8">
        <f t="shared" si="1"/>
        <v>212641.4032</v>
      </c>
      <c r="I54" s="8">
        <f t="shared" si="2"/>
        <v>19</v>
      </c>
      <c r="K54" s="8" t="str">
        <f t="shared" si="3"/>
        <v>43958|Екатеринбург</v>
      </c>
    </row>
    <row r="55" ht="14.25" customHeight="1">
      <c r="A55" s="10">
        <v>43975.0</v>
      </c>
      <c r="B55" s="11" t="s">
        <v>17</v>
      </c>
      <c r="C55" s="11">
        <v>76663.5</v>
      </c>
      <c r="D55" s="11">
        <v>6451032.0</v>
      </c>
      <c r="E55" s="7">
        <f t="array" ref="E55">_xlfn.XLOOKUP($K55,
         'Лист2'!$G$2:$G$505,
         'Лист2'!$C$2:$C$505,
         "не найдено")</f>
        <v>31</v>
      </c>
      <c r="F55" s="7">
        <f t="array" ref="F55">_xlfn.XLOOKUP($K55,
         'Лист2'!$G$2:$G$505,
         'Лист2'!$D$2:$D$505,
         "не найдено")</f>
        <v>5035</v>
      </c>
      <c r="G55" s="7">
        <f t="array" ref="G55">_xlfn.XLOOKUP($K55,
         'Лист2'!$G$2:$G$505,
         'Лист2'!$D$2:$D$505,
         "не найдено")</f>
        <v>5035</v>
      </c>
      <c r="H55" s="8">
        <f t="shared" si="1"/>
        <v>208097.8065</v>
      </c>
      <c r="I55" s="8">
        <f t="shared" si="2"/>
        <v>21</v>
      </c>
      <c r="K55" s="8" t="str">
        <f t="shared" si="3"/>
        <v>43975|Екатеринбург</v>
      </c>
    </row>
    <row r="56" ht="14.25" customHeight="1">
      <c r="A56" s="5">
        <v>43967.0</v>
      </c>
      <c r="B56" s="6" t="s">
        <v>25</v>
      </c>
      <c r="C56" s="6">
        <v>14265.0</v>
      </c>
      <c r="D56" s="6">
        <v>1130506.5</v>
      </c>
      <c r="E56" s="7">
        <f t="array" ref="E56">_xlfn.XLOOKUP($K56,
         'Лист2'!$G$2:$G$505,
         'Лист2'!$C$2:$C$505,
         "не найдено")</f>
        <v>10</v>
      </c>
      <c r="F56" s="7">
        <f t="array" ref="F56">_xlfn.XLOOKUP($K56,
         'Лист2'!$G$2:$G$505,
         'Лист2'!$D$2:$D$505,
         "не найдено")</f>
        <v>760</v>
      </c>
      <c r="G56" s="7">
        <f t="array" ref="G56">_xlfn.XLOOKUP($K56,
         'Лист2'!$G$2:$G$505,
         'Лист2'!$D$2:$D$505,
         "не найдено")</f>
        <v>760</v>
      </c>
      <c r="H56" s="8">
        <f t="shared" si="1"/>
        <v>113050.65</v>
      </c>
      <c r="I56" s="8">
        <f t="shared" si="2"/>
        <v>20</v>
      </c>
      <c r="K56" s="8" t="str">
        <f t="shared" si="3"/>
        <v>43967|Тольятти</v>
      </c>
    </row>
    <row r="57" ht="14.25" customHeight="1">
      <c r="A57" s="10">
        <v>43970.0</v>
      </c>
      <c r="B57" s="11" t="s">
        <v>25</v>
      </c>
      <c r="C57" s="11">
        <v>11526.0</v>
      </c>
      <c r="D57" s="11">
        <v>938764.5</v>
      </c>
      <c r="E57" s="7">
        <f t="array" ref="E57">_xlfn.XLOOKUP($K57,
         'Лист2'!$G$2:$G$505,
         'Лист2'!$C$2:$C$505,
         "не найдено")</f>
        <v>10</v>
      </c>
      <c r="F57" s="7">
        <f t="array" ref="F57">_xlfn.XLOOKUP($K57,
         'Лист2'!$G$2:$G$505,
         'Лист2'!$D$2:$D$505,
         "не найдено")</f>
        <v>649</v>
      </c>
      <c r="G57" s="7">
        <f t="array" ref="G57">_xlfn.XLOOKUP($K57,
         'Лист2'!$G$2:$G$505,
         'Лист2'!$D$2:$D$505,
         "не найдено")</f>
        <v>649</v>
      </c>
      <c r="H57" s="8">
        <f t="shared" si="1"/>
        <v>93876.45</v>
      </c>
      <c r="I57" s="8">
        <f t="shared" si="2"/>
        <v>21</v>
      </c>
      <c r="K57" s="8" t="str">
        <f t="shared" si="3"/>
        <v>43970|Тольятти</v>
      </c>
    </row>
    <row r="58" ht="14.25" customHeight="1">
      <c r="A58" s="5">
        <v>43968.0</v>
      </c>
      <c r="B58" s="6" t="s">
        <v>25</v>
      </c>
      <c r="C58" s="6">
        <v>10402.5</v>
      </c>
      <c r="D58" s="6">
        <v>843727.5</v>
      </c>
      <c r="E58" s="7">
        <f t="array" ref="E58">_xlfn.XLOOKUP($K58,
         'Лист2'!$G$2:$G$505,
         'Лист2'!$C$2:$C$505,
         "не найдено")</f>
        <v>10</v>
      </c>
      <c r="F58" s="7">
        <f t="array" ref="F58">_xlfn.XLOOKUP($K58,
         'Лист2'!$G$2:$G$505,
         'Лист2'!$D$2:$D$505,
         "не найдено")</f>
        <v>591</v>
      </c>
      <c r="G58" s="7">
        <f t="array" ref="G58">_xlfn.XLOOKUP($K58,
         'Лист2'!$G$2:$G$505,
         'Лист2'!$D$2:$D$505,
         "не найдено")</f>
        <v>591</v>
      </c>
      <c r="H58" s="8">
        <f t="shared" si="1"/>
        <v>84372.75</v>
      </c>
      <c r="I58" s="8">
        <f t="shared" si="2"/>
        <v>20</v>
      </c>
      <c r="K58" s="8" t="str">
        <f t="shared" si="3"/>
        <v>43968|Тольятти</v>
      </c>
    </row>
    <row r="59" ht="14.25" customHeight="1">
      <c r="A59" s="10">
        <v>43960.0</v>
      </c>
      <c r="B59" s="11" t="s">
        <v>25</v>
      </c>
      <c r="C59" s="11">
        <v>13216.5</v>
      </c>
      <c r="D59" s="11">
        <v>1046400.0</v>
      </c>
      <c r="E59" s="7">
        <f t="array" ref="E59">_xlfn.XLOOKUP($K59,
         'Лист2'!$G$2:$G$505,
         'Лист2'!$C$2:$C$505,
         "не найдено")</f>
        <v>10</v>
      </c>
      <c r="F59" s="7">
        <f t="array" ref="F59">_xlfn.XLOOKUP($K59,
         'Лист2'!$G$2:$G$505,
         'Лист2'!$D$2:$D$505,
         "не найдено")</f>
        <v>644</v>
      </c>
      <c r="G59" s="7">
        <f t="array" ref="G59">_xlfn.XLOOKUP($K59,
         'Лист2'!$G$2:$G$505,
         'Лист2'!$D$2:$D$505,
         "не найдено")</f>
        <v>644</v>
      </c>
      <c r="H59" s="8">
        <f t="shared" si="1"/>
        <v>104640</v>
      </c>
      <c r="I59" s="8">
        <f t="shared" si="2"/>
        <v>19</v>
      </c>
      <c r="K59" s="8" t="str">
        <f t="shared" si="3"/>
        <v>43960|Тольятти</v>
      </c>
    </row>
    <row r="60" ht="14.25" customHeight="1">
      <c r="A60" s="5">
        <v>43955.0</v>
      </c>
      <c r="B60" s="6" t="s">
        <v>25</v>
      </c>
      <c r="C60" s="6">
        <v>9130.5</v>
      </c>
      <c r="D60" s="6">
        <v>728890.5</v>
      </c>
      <c r="E60" s="7">
        <f t="array" ref="E60">_xlfn.XLOOKUP($K60,
         'Лист2'!$G$2:$G$505,
         'Лист2'!$C$2:$C$505,
         "не найдено")</f>
        <v>10</v>
      </c>
      <c r="F60" s="7">
        <f t="array" ref="F60">_xlfn.XLOOKUP($K60,
         'Лист2'!$G$2:$G$505,
         'Лист2'!$D$2:$D$505,
         "не найдено")</f>
        <v>462</v>
      </c>
      <c r="G60" s="7">
        <f t="array" ref="G60">_xlfn.XLOOKUP($K60,
         'Лист2'!$G$2:$G$505,
         'Лист2'!$D$2:$D$505,
         "не найдено")</f>
        <v>462</v>
      </c>
      <c r="H60" s="8">
        <f t="shared" si="1"/>
        <v>72889.05</v>
      </c>
      <c r="I60" s="8">
        <f t="shared" si="2"/>
        <v>19</v>
      </c>
      <c r="K60" s="8" t="str">
        <f t="shared" si="3"/>
        <v>43955|Тольятти</v>
      </c>
    </row>
    <row r="61" ht="14.25" customHeight="1">
      <c r="A61" s="10">
        <v>43950.0</v>
      </c>
      <c r="B61" s="11" t="s">
        <v>25</v>
      </c>
      <c r="C61" s="11">
        <v>10840.5</v>
      </c>
      <c r="D61" s="11">
        <v>797919.0</v>
      </c>
      <c r="E61" s="7">
        <f t="array" ref="E61">_xlfn.XLOOKUP($K61,
         'Лист2'!$G$2:$G$505,
         'Лист2'!$C$2:$C$505,
         "не найдено")</f>
        <v>10</v>
      </c>
      <c r="F61" s="7">
        <f t="array" ref="F61">_xlfn.XLOOKUP($K61,
         'Лист2'!$G$2:$G$505,
         'Лист2'!$D$2:$D$505,
         "не найдено")</f>
        <v>502</v>
      </c>
      <c r="G61" s="7">
        <f t="array" ref="G61">_xlfn.XLOOKUP($K61,
         'Лист2'!$G$2:$G$505,
         'Лист2'!$D$2:$D$505,
         "не найдено")</f>
        <v>502</v>
      </c>
      <c r="H61" s="8">
        <f t="shared" si="1"/>
        <v>79791.9</v>
      </c>
      <c r="I61" s="8">
        <f t="shared" si="2"/>
        <v>18</v>
      </c>
      <c r="K61" s="8" t="str">
        <f t="shared" si="3"/>
        <v>43950|Тольятти</v>
      </c>
    </row>
    <row r="62" ht="14.25" customHeight="1">
      <c r="A62" s="5">
        <v>43953.0</v>
      </c>
      <c r="B62" s="6" t="s">
        <v>25</v>
      </c>
      <c r="C62" s="6">
        <v>7866.0</v>
      </c>
      <c r="D62" s="6">
        <v>617881.5</v>
      </c>
      <c r="E62" s="7">
        <f t="array" ref="E62">_xlfn.XLOOKUP($K62,
         'Лист2'!$G$2:$G$505,
         'Лист2'!$C$2:$C$505,
         "не найдено")</f>
        <v>10</v>
      </c>
      <c r="F62" s="7">
        <f t="array" ref="F62">_xlfn.XLOOKUP($K62,
         'Лист2'!$G$2:$G$505,
         'Лист2'!$D$2:$D$505,
         "не найдено")</f>
        <v>416</v>
      </c>
      <c r="G62" s="7">
        <f t="array" ref="G62">_xlfn.XLOOKUP($K62,
         'Лист2'!$G$2:$G$505,
         'Лист2'!$D$2:$D$505,
         "не найдено")</f>
        <v>416</v>
      </c>
      <c r="H62" s="8">
        <f t="shared" si="1"/>
        <v>61788.15</v>
      </c>
      <c r="I62" s="8">
        <f t="shared" si="2"/>
        <v>18</v>
      </c>
      <c r="K62" s="8" t="str">
        <f t="shared" si="3"/>
        <v>43953|Тольятти</v>
      </c>
    </row>
    <row r="63" ht="14.25" customHeight="1">
      <c r="A63" s="10">
        <v>43977.0</v>
      </c>
      <c r="B63" s="11" t="s">
        <v>25</v>
      </c>
      <c r="C63" s="11">
        <v>11835.0</v>
      </c>
      <c r="D63" s="11">
        <v>983109.0</v>
      </c>
      <c r="E63" s="7">
        <f t="array" ref="E63">_xlfn.XLOOKUP($K63,
         'Лист2'!$G$2:$G$505,
         'Лист2'!$C$2:$C$505,
         "не найдено")</f>
        <v>10</v>
      </c>
      <c r="F63" s="7">
        <f t="array" ref="F63">_xlfn.XLOOKUP($K63,
         'Лист2'!$G$2:$G$505,
         'Лист2'!$D$2:$D$505,
         "не найдено")</f>
        <v>692</v>
      </c>
      <c r="G63" s="7">
        <f t="array" ref="G63">_xlfn.XLOOKUP($K63,
         'Лист2'!$G$2:$G$505,
         'Лист2'!$D$2:$D$505,
         "не найдено")</f>
        <v>692</v>
      </c>
      <c r="H63" s="8">
        <f t="shared" si="1"/>
        <v>98310.9</v>
      </c>
      <c r="I63" s="8">
        <f t="shared" si="2"/>
        <v>22</v>
      </c>
      <c r="K63" s="8" t="str">
        <f t="shared" si="3"/>
        <v>43977|Тольятти</v>
      </c>
    </row>
    <row r="64" ht="14.25" customHeight="1">
      <c r="A64" s="5">
        <v>43952.0</v>
      </c>
      <c r="B64" s="6" t="s">
        <v>25</v>
      </c>
      <c r="C64" s="6">
        <v>11619.0</v>
      </c>
      <c r="D64" s="6">
        <v>891139.5</v>
      </c>
      <c r="E64" s="7">
        <f t="array" ref="E64">_xlfn.XLOOKUP($K64,
         'Лист2'!$G$2:$G$505,
         'Лист2'!$C$2:$C$505,
         "не найдено")</f>
        <v>10</v>
      </c>
      <c r="F64" s="7">
        <f t="array" ref="F64">_xlfn.XLOOKUP($K64,
         'Лист2'!$G$2:$G$505,
         'Лист2'!$D$2:$D$505,
         "не найдено")</f>
        <v>554</v>
      </c>
      <c r="G64" s="7">
        <f t="array" ref="G64">_xlfn.XLOOKUP($K64,
         'Лист2'!$G$2:$G$505,
         'Лист2'!$D$2:$D$505,
         "не найдено")</f>
        <v>554</v>
      </c>
      <c r="H64" s="8">
        <f t="shared" si="1"/>
        <v>89113.95</v>
      </c>
      <c r="I64" s="8">
        <f t="shared" si="2"/>
        <v>18</v>
      </c>
      <c r="K64" s="8" t="str">
        <f t="shared" si="3"/>
        <v>43952|Тольятти</v>
      </c>
    </row>
    <row r="65" ht="14.25" customHeight="1">
      <c r="A65" s="10">
        <v>43963.0</v>
      </c>
      <c r="B65" s="11" t="s">
        <v>25</v>
      </c>
      <c r="C65" s="11">
        <v>9328.5</v>
      </c>
      <c r="D65" s="11">
        <v>732964.5</v>
      </c>
      <c r="E65" s="7">
        <f t="array" ref="E65">_xlfn.XLOOKUP($K65,
         'Лист2'!$G$2:$G$505,
         'Лист2'!$C$2:$C$505,
         "не найдено")</f>
        <v>10</v>
      </c>
      <c r="F65" s="7">
        <f t="array" ref="F65">_xlfn.XLOOKUP($K65,
         'Лист2'!$G$2:$G$505,
         'Лист2'!$D$2:$D$505,
         "не найдено")</f>
        <v>526</v>
      </c>
      <c r="G65" s="7">
        <f t="array" ref="G65">_xlfn.XLOOKUP($K65,
         'Лист2'!$G$2:$G$505,
         'Лист2'!$D$2:$D$505,
         "не найдено")</f>
        <v>526</v>
      </c>
      <c r="H65" s="8">
        <f t="shared" si="1"/>
        <v>73296.45</v>
      </c>
      <c r="I65" s="8">
        <f t="shared" si="2"/>
        <v>20</v>
      </c>
      <c r="K65" s="8" t="str">
        <f t="shared" si="3"/>
        <v>43963|Тольятти</v>
      </c>
    </row>
    <row r="66" ht="14.25" customHeight="1">
      <c r="A66" s="5">
        <v>43972.0</v>
      </c>
      <c r="B66" s="6" t="s">
        <v>25</v>
      </c>
      <c r="C66" s="6">
        <v>11250.0</v>
      </c>
      <c r="D66" s="6">
        <v>935523.0</v>
      </c>
      <c r="E66" s="7">
        <f t="array" ref="E66">_xlfn.XLOOKUP($K66,
         'Лист2'!$G$2:$G$505,
         'Лист2'!$C$2:$C$505,
         "не найдено")</f>
        <v>10</v>
      </c>
      <c r="F66" s="7">
        <f t="array" ref="F66">_xlfn.XLOOKUP($K66,
         'Лист2'!$G$2:$G$505,
         'Лист2'!$D$2:$D$505,
         "не найдено")</f>
        <v>677</v>
      </c>
      <c r="G66" s="7">
        <f t="array" ref="G66">_xlfn.XLOOKUP($K66,
         'Лист2'!$G$2:$G$505,
         'Лист2'!$D$2:$D$505,
         "не найдено")</f>
        <v>677</v>
      </c>
      <c r="H66" s="8">
        <f t="shared" si="1"/>
        <v>93552.3</v>
      </c>
      <c r="I66" s="8">
        <f t="shared" si="2"/>
        <v>21</v>
      </c>
      <c r="K66" s="8" t="str">
        <f t="shared" si="3"/>
        <v>43972|Тольятти</v>
      </c>
    </row>
    <row r="67" ht="14.25" customHeight="1">
      <c r="A67" s="10">
        <v>43971.0</v>
      </c>
      <c r="B67" s="11" t="s">
        <v>25</v>
      </c>
      <c r="C67" s="11">
        <v>13063.5</v>
      </c>
      <c r="D67" s="11">
        <v>1037247.0</v>
      </c>
      <c r="E67" s="7">
        <f t="array" ref="E67">_xlfn.XLOOKUP($K67,
         'Лист2'!$G$2:$G$505,
         'Лист2'!$C$2:$C$505,
         "не найдено")</f>
        <v>10</v>
      </c>
      <c r="F67" s="7">
        <f t="array" ref="F67">_xlfn.XLOOKUP($K67,
         'Лист2'!$G$2:$G$505,
         'Лист2'!$D$2:$D$505,
         "не найдено")</f>
        <v>745</v>
      </c>
      <c r="G67" s="7">
        <f t="array" ref="G67">_xlfn.XLOOKUP($K67,
         'Лист2'!$G$2:$G$505,
         'Лист2'!$D$2:$D$505,
         "не найдено")</f>
        <v>745</v>
      </c>
      <c r="H67" s="8">
        <f t="shared" si="1"/>
        <v>103724.7</v>
      </c>
      <c r="I67" s="8">
        <f t="shared" si="2"/>
        <v>21</v>
      </c>
      <c r="K67" s="8" t="str">
        <f t="shared" si="3"/>
        <v>43971|Тольятти</v>
      </c>
    </row>
    <row r="68" ht="14.25" customHeight="1">
      <c r="A68" s="5">
        <v>43956.0</v>
      </c>
      <c r="B68" s="6" t="s">
        <v>25</v>
      </c>
      <c r="C68" s="6">
        <v>10147.5</v>
      </c>
      <c r="D68" s="6">
        <v>793320.0</v>
      </c>
      <c r="E68" s="7">
        <f t="array" ref="E68">_xlfn.XLOOKUP($K68,
         'Лист2'!$G$2:$G$505,
         'Лист2'!$C$2:$C$505,
         "не найдено")</f>
        <v>10</v>
      </c>
      <c r="F68" s="7">
        <f t="array" ref="F68">_xlfn.XLOOKUP($K68,
         'Лист2'!$G$2:$G$505,
         'Лист2'!$D$2:$D$505,
         "не найдено")</f>
        <v>511</v>
      </c>
      <c r="G68" s="7">
        <f t="array" ref="G68">_xlfn.XLOOKUP($K68,
         'Лист2'!$G$2:$G$505,
         'Лист2'!$D$2:$D$505,
         "не найдено")</f>
        <v>511</v>
      </c>
      <c r="H68" s="8">
        <f t="shared" si="1"/>
        <v>79332</v>
      </c>
      <c r="I68" s="8">
        <f t="shared" si="2"/>
        <v>19</v>
      </c>
      <c r="K68" s="8" t="str">
        <f t="shared" si="3"/>
        <v>43956|Тольятти</v>
      </c>
    </row>
    <row r="69" ht="14.25" customHeight="1">
      <c r="A69" s="10">
        <v>43949.0</v>
      </c>
      <c r="B69" s="11" t="s">
        <v>25</v>
      </c>
      <c r="C69" s="11">
        <v>12331.5</v>
      </c>
      <c r="D69" s="11">
        <v>869983.5</v>
      </c>
      <c r="E69" s="7">
        <f t="array" ref="E69">_xlfn.XLOOKUP($K69,
         'Лист2'!$G$2:$G$505,
         'Лист2'!$C$2:$C$505,
         "не найдено")</f>
        <v>10</v>
      </c>
      <c r="F69" s="7">
        <f t="array" ref="F69">_xlfn.XLOOKUP($K69,
         'Лист2'!$G$2:$G$505,
         'Лист2'!$D$2:$D$505,
         "не найдено")</f>
        <v>580</v>
      </c>
      <c r="G69" s="7">
        <f t="array" ref="G69">_xlfn.XLOOKUP($K69,
         'Лист2'!$G$2:$G$505,
         'Лист2'!$D$2:$D$505,
         "не найдено")</f>
        <v>580</v>
      </c>
      <c r="H69" s="8">
        <f t="shared" si="1"/>
        <v>86998.35</v>
      </c>
      <c r="I69" s="8">
        <f t="shared" si="2"/>
        <v>18</v>
      </c>
      <c r="K69" s="8" t="str">
        <f t="shared" si="3"/>
        <v>43949|Тольятти</v>
      </c>
    </row>
    <row r="70" ht="14.25" customHeight="1">
      <c r="A70" s="5">
        <v>43964.0</v>
      </c>
      <c r="B70" s="6" t="s">
        <v>25</v>
      </c>
      <c r="C70" s="6">
        <v>11202.0</v>
      </c>
      <c r="D70" s="6">
        <v>865714.5</v>
      </c>
      <c r="E70" s="7">
        <f t="array" ref="E70">_xlfn.XLOOKUP($K70,
         'Лист2'!$G$2:$G$505,
         'Лист2'!$C$2:$C$505,
         "не найдено")</f>
        <v>10</v>
      </c>
      <c r="F70" s="7">
        <f t="array" ref="F70">_xlfn.XLOOKUP($K70,
         'Лист2'!$G$2:$G$505,
         'Лист2'!$D$2:$D$505,
         "не найдено")</f>
        <v>612</v>
      </c>
      <c r="G70" s="7">
        <f t="array" ref="G70">_xlfn.XLOOKUP($K70,
         'Лист2'!$G$2:$G$505,
         'Лист2'!$D$2:$D$505,
         "не найдено")</f>
        <v>612</v>
      </c>
      <c r="H70" s="8">
        <f t="shared" si="1"/>
        <v>86571.45</v>
      </c>
      <c r="I70" s="8">
        <f t="shared" si="2"/>
        <v>20</v>
      </c>
      <c r="K70" s="8" t="str">
        <f t="shared" si="3"/>
        <v>43964|Тольятти</v>
      </c>
    </row>
    <row r="71" ht="14.25" customHeight="1">
      <c r="A71" s="10">
        <v>43982.0</v>
      </c>
      <c r="B71" s="11" t="s">
        <v>17</v>
      </c>
      <c r="C71" s="11">
        <v>89149.5</v>
      </c>
      <c r="D71" s="11">
        <v>7512646.5</v>
      </c>
      <c r="E71" s="7">
        <f t="array" ref="E71">_xlfn.XLOOKUP($K71,
         'Лист2'!$G$2:$G$505,
         'Лист2'!$C$2:$C$505,
         "не найдено")</f>
        <v>31</v>
      </c>
      <c r="F71" s="7">
        <f t="array" ref="F71">_xlfn.XLOOKUP($K71,
         'Лист2'!$G$2:$G$505,
         'Лист2'!$D$2:$D$505,
         "не найдено")</f>
        <v>5760</v>
      </c>
      <c r="G71" s="7">
        <f t="array" ref="G71">_xlfn.XLOOKUP($K71,
         'Лист2'!$G$2:$G$505,
         'Лист2'!$D$2:$D$505,
         "не найдено")</f>
        <v>5760</v>
      </c>
      <c r="H71" s="8">
        <f t="shared" si="1"/>
        <v>242343.4355</v>
      </c>
      <c r="I71" s="8">
        <f t="shared" si="2"/>
        <v>22</v>
      </c>
      <c r="K71" s="8" t="str">
        <f t="shared" si="3"/>
        <v>43982|Екатеринбург</v>
      </c>
    </row>
    <row r="72" ht="14.25" customHeight="1">
      <c r="A72" s="5">
        <v>43954.0</v>
      </c>
      <c r="B72" s="6" t="s">
        <v>25</v>
      </c>
      <c r="C72" s="6">
        <v>8185.5</v>
      </c>
      <c r="D72" s="6">
        <v>637881.0</v>
      </c>
      <c r="E72" s="7">
        <f t="array" ref="E72">_xlfn.XLOOKUP($K72,
         'Лист2'!$G$2:$G$505,
         'Лист2'!$C$2:$C$505,
         "не найдено")</f>
        <v>10</v>
      </c>
      <c r="F72" s="7">
        <f t="array" ref="F72">_xlfn.XLOOKUP($K72,
         'Лист2'!$G$2:$G$505,
         'Лист2'!$D$2:$D$505,
         "не найдено")</f>
        <v>402</v>
      </c>
      <c r="G72" s="7">
        <f t="array" ref="G72">_xlfn.XLOOKUP($K72,
         'Лист2'!$G$2:$G$505,
         'Лист2'!$D$2:$D$505,
         "не найдено")</f>
        <v>402</v>
      </c>
      <c r="H72" s="8">
        <f t="shared" si="1"/>
        <v>63788.1</v>
      </c>
      <c r="I72" s="8">
        <f t="shared" si="2"/>
        <v>18</v>
      </c>
      <c r="K72" s="8" t="str">
        <f t="shared" si="3"/>
        <v>43954|Тольятти</v>
      </c>
    </row>
    <row r="73" ht="14.25" customHeight="1">
      <c r="A73" s="10">
        <v>43981.0</v>
      </c>
      <c r="B73" s="11" t="s">
        <v>17</v>
      </c>
      <c r="C73" s="11">
        <v>108123.0</v>
      </c>
      <c r="D73" s="11">
        <v>9164707.5</v>
      </c>
      <c r="E73" s="7">
        <f t="array" ref="E73">_xlfn.XLOOKUP($K73,
         'Лист2'!$G$2:$G$505,
         'Лист2'!$C$2:$C$505,
         "не найдено")</f>
        <v>31</v>
      </c>
      <c r="F73" s="7">
        <f t="array" ref="F73">_xlfn.XLOOKUP($K73,
         'Лист2'!$G$2:$G$505,
         'Лист2'!$D$2:$D$505,
         "не найдено")</f>
        <v>6735</v>
      </c>
      <c r="G73" s="7">
        <f t="array" ref="G73">_xlfn.XLOOKUP($K73,
         'Лист2'!$G$2:$G$505,
         'Лист2'!$D$2:$D$505,
         "не найдено")</f>
        <v>6735</v>
      </c>
      <c r="H73" s="8">
        <f t="shared" si="1"/>
        <v>295635.7258</v>
      </c>
      <c r="I73" s="8">
        <f t="shared" si="2"/>
        <v>22</v>
      </c>
      <c r="K73" s="8" t="str">
        <f t="shared" si="3"/>
        <v>43981|Екатеринбург</v>
      </c>
    </row>
    <row r="74" ht="14.25" customHeight="1">
      <c r="A74" s="5">
        <v>43957.0</v>
      </c>
      <c r="B74" s="6" t="s">
        <v>25</v>
      </c>
      <c r="C74" s="6">
        <v>9210.0</v>
      </c>
      <c r="D74" s="6">
        <v>696832.5</v>
      </c>
      <c r="E74" s="7">
        <f t="array" ref="E74">_xlfn.XLOOKUP($K74,
         'Лист2'!$G$2:$G$505,
         'Лист2'!$C$2:$C$505,
         "не найдено")</f>
        <v>10</v>
      </c>
      <c r="F74" s="7">
        <f t="array" ref="F74">_xlfn.XLOOKUP($K74,
         'Лист2'!$G$2:$G$505,
         'Лист2'!$D$2:$D$505,
         "не найдено")</f>
        <v>465</v>
      </c>
      <c r="G74" s="7">
        <f t="array" ref="G74">_xlfn.XLOOKUP($K74,
         'Лист2'!$G$2:$G$505,
         'Лист2'!$D$2:$D$505,
         "не найдено")</f>
        <v>465</v>
      </c>
      <c r="H74" s="8">
        <f t="shared" si="1"/>
        <v>69683.25</v>
      </c>
      <c r="I74" s="8">
        <f t="shared" si="2"/>
        <v>19</v>
      </c>
      <c r="K74" s="8" t="str">
        <f t="shared" si="3"/>
        <v>43957|Тольятти</v>
      </c>
    </row>
    <row r="75" ht="14.25" customHeight="1">
      <c r="A75" s="10">
        <v>43974.0</v>
      </c>
      <c r="B75" s="11" t="s">
        <v>25</v>
      </c>
      <c r="C75" s="11">
        <v>14773.5</v>
      </c>
      <c r="D75" s="11">
        <v>1241383.5</v>
      </c>
      <c r="E75" s="7">
        <f t="array" ref="E75">_xlfn.XLOOKUP($K75,
         'Лист2'!$G$2:$G$505,
         'Лист2'!$C$2:$C$505,
         "не найдено")</f>
        <v>10</v>
      </c>
      <c r="F75" s="7">
        <f t="array" ref="F75">_xlfn.XLOOKUP($K75,
         'Лист2'!$G$2:$G$505,
         'Лист2'!$D$2:$D$505,
         "не найдено")</f>
        <v>828</v>
      </c>
      <c r="G75" s="7">
        <f t="array" ref="G75">_xlfn.XLOOKUP($K75,
         'Лист2'!$G$2:$G$505,
         'Лист2'!$D$2:$D$505,
         "не найдено")</f>
        <v>828</v>
      </c>
      <c r="H75" s="8">
        <f t="shared" si="1"/>
        <v>124138.35</v>
      </c>
      <c r="I75" s="8">
        <f t="shared" si="2"/>
        <v>21</v>
      </c>
      <c r="K75" s="8" t="str">
        <f t="shared" si="3"/>
        <v>43974|Тольятти</v>
      </c>
    </row>
    <row r="76" ht="14.25" customHeight="1">
      <c r="A76" s="5">
        <v>43979.0</v>
      </c>
      <c r="B76" s="6" t="s">
        <v>17</v>
      </c>
      <c r="C76" s="6">
        <v>78141.0</v>
      </c>
      <c r="D76" s="6">
        <v>6641569.5</v>
      </c>
      <c r="E76" s="7">
        <f t="array" ref="E76">_xlfn.XLOOKUP($K76,
         'Лист2'!$G$2:$G$505,
         'Лист2'!$C$2:$C$505,
         "не найдено")</f>
        <v>31</v>
      </c>
      <c r="F76" s="7">
        <f t="array" ref="F76">_xlfn.XLOOKUP($K76,
         'Лист2'!$G$2:$G$505,
         'Лист2'!$D$2:$D$505,
         "не найдено")</f>
        <v>5355</v>
      </c>
      <c r="G76" s="7">
        <f t="array" ref="G76">_xlfn.XLOOKUP($K76,
         'Лист2'!$G$2:$G$505,
         'Лист2'!$D$2:$D$505,
         "не найдено")</f>
        <v>5355</v>
      </c>
      <c r="H76" s="8">
        <f t="shared" si="1"/>
        <v>214244.1774</v>
      </c>
      <c r="I76" s="8">
        <f t="shared" si="2"/>
        <v>22</v>
      </c>
      <c r="K76" s="8" t="str">
        <f t="shared" si="3"/>
        <v>43979|Екатеринбург</v>
      </c>
    </row>
    <row r="77" ht="14.25" customHeight="1">
      <c r="A77" s="10">
        <v>43976.0</v>
      </c>
      <c r="B77" s="11" t="s">
        <v>25</v>
      </c>
      <c r="C77" s="11">
        <v>12280.5</v>
      </c>
      <c r="D77" s="11">
        <v>1030440.0</v>
      </c>
      <c r="E77" s="7">
        <f t="array" ref="E77">_xlfn.XLOOKUP($K77,
         'Лист2'!$G$2:$G$505,
         'Лист2'!$C$2:$C$505,
         "не найдено")</f>
        <v>10</v>
      </c>
      <c r="F77" s="7">
        <f t="array" ref="F77">_xlfn.XLOOKUP($K77,
         'Лист2'!$G$2:$G$505,
         'Лист2'!$D$2:$D$505,
         "не найдено")</f>
        <v>739</v>
      </c>
      <c r="G77" s="7">
        <f t="array" ref="G77">_xlfn.XLOOKUP($K77,
         'Лист2'!$G$2:$G$505,
         'Лист2'!$D$2:$D$505,
         "не найдено")</f>
        <v>739</v>
      </c>
      <c r="H77" s="8">
        <f t="shared" si="1"/>
        <v>103044</v>
      </c>
      <c r="I77" s="8">
        <f t="shared" si="2"/>
        <v>22</v>
      </c>
      <c r="K77" s="8" t="str">
        <f t="shared" si="3"/>
        <v>43976|Тольятти</v>
      </c>
    </row>
    <row r="78" ht="14.25" customHeight="1">
      <c r="A78" s="5">
        <v>43951.0</v>
      </c>
      <c r="B78" s="6" t="s">
        <v>25</v>
      </c>
      <c r="C78" s="6">
        <v>8934.0</v>
      </c>
      <c r="D78" s="6">
        <v>716196.0</v>
      </c>
      <c r="E78" s="7">
        <f t="array" ref="E78">_xlfn.XLOOKUP($K78,
         'Лист2'!$G$2:$G$505,
         'Лист2'!$C$2:$C$505,
         "не найдено")</f>
        <v>10</v>
      </c>
      <c r="F78" s="7">
        <f t="array" ref="F78">_xlfn.XLOOKUP($K78,
         'Лист2'!$G$2:$G$505,
         'Лист2'!$D$2:$D$505,
         "не найдено")</f>
        <v>448</v>
      </c>
      <c r="G78" s="7">
        <f t="array" ref="G78">_xlfn.XLOOKUP($K78,
         'Лист2'!$G$2:$G$505,
         'Лист2'!$D$2:$D$505,
         "не найдено")</f>
        <v>448</v>
      </c>
      <c r="H78" s="8">
        <f t="shared" si="1"/>
        <v>71619.6</v>
      </c>
      <c r="I78" s="8">
        <f t="shared" si="2"/>
        <v>18</v>
      </c>
      <c r="K78" s="8" t="str">
        <f t="shared" si="3"/>
        <v>43951|Тольятти</v>
      </c>
    </row>
    <row r="79" ht="14.25" customHeight="1">
      <c r="A79" s="10">
        <v>43961.0</v>
      </c>
      <c r="B79" s="11" t="s">
        <v>25</v>
      </c>
      <c r="C79" s="11">
        <v>12918.0</v>
      </c>
      <c r="D79" s="11">
        <v>1004788.5</v>
      </c>
      <c r="E79" s="7">
        <f t="array" ref="E79">_xlfn.XLOOKUP($K79,
         'Лист2'!$G$2:$G$505,
         'Лист2'!$C$2:$C$505,
         "не найдено")</f>
        <v>10</v>
      </c>
      <c r="F79" s="7">
        <f t="array" ref="F79">_xlfn.XLOOKUP($K79,
         'Лист2'!$G$2:$G$505,
         'Лист2'!$D$2:$D$505,
         "не найдено")</f>
        <v>642</v>
      </c>
      <c r="G79" s="7">
        <f t="array" ref="G79">_xlfn.XLOOKUP($K79,
         'Лист2'!$G$2:$G$505,
         'Лист2'!$D$2:$D$505,
         "не найдено")</f>
        <v>642</v>
      </c>
      <c r="H79" s="8">
        <f t="shared" si="1"/>
        <v>100478.85</v>
      </c>
      <c r="I79" s="8">
        <f t="shared" si="2"/>
        <v>19</v>
      </c>
      <c r="K79" s="8" t="str">
        <f t="shared" si="3"/>
        <v>43961|Тольятти</v>
      </c>
    </row>
    <row r="80" ht="14.25" customHeight="1">
      <c r="A80" s="5">
        <v>43959.0</v>
      </c>
      <c r="B80" s="6" t="s">
        <v>25</v>
      </c>
      <c r="C80" s="6">
        <v>12528.0</v>
      </c>
      <c r="D80" s="6">
        <v>959703.0</v>
      </c>
      <c r="E80" s="7">
        <f t="array" ref="E80">_xlfn.XLOOKUP($K80,
         'Лист2'!$G$2:$G$505,
         'Лист2'!$C$2:$C$505,
         "не найдено")</f>
        <v>10</v>
      </c>
      <c r="F80" s="7">
        <f t="array" ref="F80">_xlfn.XLOOKUP($K80,
         'Лист2'!$G$2:$G$505,
         'Лист2'!$D$2:$D$505,
         "не найдено")</f>
        <v>638</v>
      </c>
      <c r="G80" s="7">
        <f t="array" ref="G80">_xlfn.XLOOKUP($K80,
         'Лист2'!$G$2:$G$505,
         'Лист2'!$D$2:$D$505,
         "не найдено")</f>
        <v>638</v>
      </c>
      <c r="H80" s="8">
        <f t="shared" si="1"/>
        <v>95970.3</v>
      </c>
      <c r="I80" s="8">
        <f t="shared" si="2"/>
        <v>19</v>
      </c>
      <c r="K80" s="8" t="str">
        <f t="shared" si="3"/>
        <v>43959|Тольятти</v>
      </c>
    </row>
    <row r="81" ht="14.25" customHeight="1">
      <c r="A81" s="10">
        <v>43958.0</v>
      </c>
      <c r="B81" s="11" t="s">
        <v>25</v>
      </c>
      <c r="C81" s="11">
        <v>11029.5</v>
      </c>
      <c r="D81" s="11">
        <v>863754.0</v>
      </c>
      <c r="E81" s="7">
        <f t="array" ref="E81">_xlfn.XLOOKUP($K81,
         'Лист2'!$G$2:$G$505,
         'Лист2'!$C$2:$C$505,
         "не найдено")</f>
        <v>10</v>
      </c>
      <c r="F81" s="7">
        <f t="array" ref="F81">_xlfn.XLOOKUP($K81,
         'Лист2'!$G$2:$G$505,
         'Лист2'!$D$2:$D$505,
         "не найдено")</f>
        <v>563</v>
      </c>
      <c r="G81" s="7">
        <f t="array" ref="G81">_xlfn.XLOOKUP($K81,
         'Лист2'!$G$2:$G$505,
         'Лист2'!$D$2:$D$505,
         "не найдено")</f>
        <v>563</v>
      </c>
      <c r="H81" s="8">
        <f t="shared" si="1"/>
        <v>86375.4</v>
      </c>
      <c r="I81" s="8">
        <f t="shared" si="2"/>
        <v>19</v>
      </c>
      <c r="K81" s="8" t="str">
        <f t="shared" si="3"/>
        <v>43958|Тольятти</v>
      </c>
    </row>
    <row r="82" ht="14.25" customHeight="1">
      <c r="A82" s="5">
        <v>43975.0</v>
      </c>
      <c r="B82" s="6" t="s">
        <v>25</v>
      </c>
      <c r="C82" s="6">
        <v>9994.5</v>
      </c>
      <c r="D82" s="6">
        <v>828984.0</v>
      </c>
      <c r="E82" s="7">
        <f t="array" ref="E82">_xlfn.XLOOKUP($K82,
         'Лист2'!$G$2:$G$505,
         'Лист2'!$C$2:$C$505,
         "не найдено")</f>
        <v>10</v>
      </c>
      <c r="F82" s="7">
        <f t="array" ref="F82">_xlfn.XLOOKUP($K82,
         'Лист2'!$G$2:$G$505,
         'Лист2'!$D$2:$D$505,
         "не найдено")</f>
        <v>639</v>
      </c>
      <c r="G82" s="7">
        <f t="array" ref="G82">_xlfn.XLOOKUP($K82,
         'Лист2'!$G$2:$G$505,
         'Лист2'!$D$2:$D$505,
         "не найдено")</f>
        <v>639</v>
      </c>
      <c r="H82" s="8">
        <f t="shared" si="1"/>
        <v>82898.4</v>
      </c>
      <c r="I82" s="8">
        <f t="shared" si="2"/>
        <v>21</v>
      </c>
      <c r="K82" s="8" t="str">
        <f t="shared" si="3"/>
        <v>43975|Тольятти</v>
      </c>
    </row>
    <row r="83" ht="14.25" customHeight="1">
      <c r="A83" s="10">
        <v>43982.0</v>
      </c>
      <c r="B83" s="11" t="s">
        <v>25</v>
      </c>
      <c r="C83" s="11">
        <v>12724.5</v>
      </c>
      <c r="D83" s="11">
        <v>1045515.0</v>
      </c>
      <c r="E83" s="7">
        <f t="array" ref="E83">_xlfn.XLOOKUP($K83,
         'Лист2'!$G$2:$G$505,
         'Лист2'!$C$2:$C$505,
         "не найдено")</f>
        <v>10</v>
      </c>
      <c r="F83" s="7">
        <f t="array" ref="F83">_xlfn.XLOOKUP($K83,
         'Лист2'!$G$2:$G$505,
         'Лист2'!$D$2:$D$505,
         "не найдено")</f>
        <v>749</v>
      </c>
      <c r="G83" s="7">
        <f t="array" ref="G83">_xlfn.XLOOKUP($K83,
         'Лист2'!$G$2:$G$505,
         'Лист2'!$D$2:$D$505,
         "не найдено")</f>
        <v>749</v>
      </c>
      <c r="H83" s="8">
        <f t="shared" si="1"/>
        <v>104551.5</v>
      </c>
      <c r="I83" s="8">
        <f t="shared" si="2"/>
        <v>22</v>
      </c>
      <c r="K83" s="8" t="str">
        <f t="shared" si="3"/>
        <v>43982|Тольятти</v>
      </c>
    </row>
    <row r="84" ht="14.25" customHeight="1">
      <c r="A84" s="5">
        <v>43981.0</v>
      </c>
      <c r="B84" s="6" t="s">
        <v>25</v>
      </c>
      <c r="C84" s="6">
        <v>14728.5</v>
      </c>
      <c r="D84" s="6">
        <v>1260483.0</v>
      </c>
      <c r="E84" s="7">
        <f t="array" ref="E84">_xlfn.XLOOKUP($K84,
         'Лист2'!$G$2:$G$505,
         'Лист2'!$C$2:$C$505,
         "не найдено")</f>
        <v>10</v>
      </c>
      <c r="F84" s="7">
        <f t="array" ref="F84">_xlfn.XLOOKUP($K84,
         'Лист2'!$G$2:$G$505,
         'Лист2'!$D$2:$D$505,
         "не найдено")</f>
        <v>865</v>
      </c>
      <c r="G84" s="7">
        <f t="array" ref="G84">_xlfn.XLOOKUP($K84,
         'Лист2'!$G$2:$G$505,
         'Лист2'!$D$2:$D$505,
         "не найдено")</f>
        <v>865</v>
      </c>
      <c r="H84" s="8">
        <f t="shared" si="1"/>
        <v>126048.3</v>
      </c>
      <c r="I84" s="8">
        <f t="shared" si="2"/>
        <v>22</v>
      </c>
      <c r="K84" s="8" t="str">
        <f t="shared" si="3"/>
        <v>43981|Тольятти</v>
      </c>
    </row>
    <row r="85" ht="14.25" customHeight="1">
      <c r="A85" s="10">
        <v>43979.0</v>
      </c>
      <c r="B85" s="11" t="s">
        <v>25</v>
      </c>
      <c r="C85" s="11">
        <v>13038.0</v>
      </c>
      <c r="D85" s="11">
        <v>1114552.5</v>
      </c>
      <c r="E85" s="7">
        <f t="array" ref="E85">_xlfn.XLOOKUP($K85,
         'Лист2'!$G$2:$G$505,
         'Лист2'!$C$2:$C$505,
         "не найдено")</f>
        <v>10</v>
      </c>
      <c r="F85" s="7">
        <f t="array" ref="F85">_xlfn.XLOOKUP($K85,
         'Лист2'!$G$2:$G$505,
         'Лист2'!$D$2:$D$505,
         "не найдено")</f>
        <v>791</v>
      </c>
      <c r="G85" s="7">
        <f t="array" ref="G85">_xlfn.XLOOKUP($K85,
         'Лист2'!$G$2:$G$505,
         'Лист2'!$D$2:$D$505,
         "не найдено")</f>
        <v>791</v>
      </c>
      <c r="H85" s="8">
        <f t="shared" si="1"/>
        <v>111455.25</v>
      </c>
      <c r="I85" s="8">
        <f t="shared" si="2"/>
        <v>22</v>
      </c>
      <c r="K85" s="8" t="str">
        <f t="shared" si="3"/>
        <v>43979|Тольятти</v>
      </c>
    </row>
    <row r="86" ht="14.25" customHeight="1">
      <c r="A86" s="5">
        <v>43967.0</v>
      </c>
      <c r="B86" s="6" t="s">
        <v>21</v>
      </c>
      <c r="C86" s="6">
        <v>35482.5</v>
      </c>
      <c r="D86" s="6">
        <v>3222517.5</v>
      </c>
      <c r="E86" s="7">
        <f t="array" ref="E86">_xlfn.XLOOKUP($K86,
         'Лист2'!$G$2:$G$505,
         'Лист2'!$C$2:$C$505,
         "не найдено")</f>
        <v>19</v>
      </c>
      <c r="F86" s="7">
        <f t="array" ref="F86">_xlfn.XLOOKUP($K86,
         'Лист2'!$G$2:$G$505,
         'Лист2'!$D$2:$D$505,
         "не найдено")</f>
        <v>2080</v>
      </c>
      <c r="G86" s="7">
        <f t="array" ref="G86">_xlfn.XLOOKUP($K86,
         'Лист2'!$G$2:$G$505,
         'Лист2'!$D$2:$D$505,
         "не найдено")</f>
        <v>2080</v>
      </c>
      <c r="H86" s="8">
        <f t="shared" si="1"/>
        <v>169606.1842</v>
      </c>
      <c r="I86" s="8">
        <f t="shared" si="2"/>
        <v>20</v>
      </c>
      <c r="K86" s="8" t="str">
        <f t="shared" si="3"/>
        <v>43967|Нижний Новгород</v>
      </c>
    </row>
    <row r="87" ht="14.25" customHeight="1">
      <c r="A87" s="10">
        <v>43970.0</v>
      </c>
      <c r="B87" s="11" t="s">
        <v>21</v>
      </c>
      <c r="C87" s="11">
        <v>32434.5</v>
      </c>
      <c r="D87" s="11">
        <v>2865337.5</v>
      </c>
      <c r="E87" s="7">
        <f t="array" ref="E87">_xlfn.XLOOKUP($K87,
         'Лист2'!$G$2:$G$505,
         'Лист2'!$C$2:$C$505,
         "не найдено")</f>
        <v>19</v>
      </c>
      <c r="F87" s="7">
        <f t="array" ref="F87">_xlfn.XLOOKUP($K87,
         'Лист2'!$G$2:$G$505,
         'Лист2'!$D$2:$D$505,
         "не найдено")</f>
        <v>1999</v>
      </c>
      <c r="G87" s="7">
        <f t="array" ref="G87">_xlfn.XLOOKUP($K87,
         'Лист2'!$G$2:$G$505,
         'Лист2'!$D$2:$D$505,
         "не найдено")</f>
        <v>1999</v>
      </c>
      <c r="H87" s="8">
        <f t="shared" si="1"/>
        <v>150807.2368</v>
      </c>
      <c r="I87" s="8">
        <f t="shared" si="2"/>
        <v>21</v>
      </c>
      <c r="K87" s="8" t="str">
        <f t="shared" si="3"/>
        <v>43970|Нижний Новгород</v>
      </c>
    </row>
    <row r="88" ht="14.25" customHeight="1">
      <c r="A88" s="5">
        <v>43968.0</v>
      </c>
      <c r="B88" s="6" t="s">
        <v>21</v>
      </c>
      <c r="C88" s="6">
        <v>30486.0</v>
      </c>
      <c r="D88" s="6">
        <v>2694289.5</v>
      </c>
      <c r="E88" s="7">
        <f t="array" ref="E88">_xlfn.XLOOKUP($K88,
         'Лист2'!$G$2:$G$505,
         'Лист2'!$C$2:$C$505,
         "не найдено")</f>
        <v>19</v>
      </c>
      <c r="F88" s="7">
        <f t="array" ref="F88">_xlfn.XLOOKUP($K88,
         'Лист2'!$G$2:$G$505,
         'Лист2'!$D$2:$D$505,
         "не найдено")</f>
        <v>1871</v>
      </c>
      <c r="G88" s="7">
        <f t="array" ref="G88">_xlfn.XLOOKUP($K88,
         'Лист2'!$G$2:$G$505,
         'Лист2'!$D$2:$D$505,
         "не найдено")</f>
        <v>1871</v>
      </c>
      <c r="H88" s="8">
        <f t="shared" si="1"/>
        <v>141804.7105</v>
      </c>
      <c r="I88" s="8">
        <f t="shared" si="2"/>
        <v>20</v>
      </c>
      <c r="K88" s="8" t="str">
        <f t="shared" si="3"/>
        <v>43968|Нижний Новгород</v>
      </c>
    </row>
    <row r="89" ht="14.25" customHeight="1">
      <c r="A89" s="10">
        <v>43960.0</v>
      </c>
      <c r="B89" s="11" t="s">
        <v>21</v>
      </c>
      <c r="C89" s="11">
        <v>32079.0</v>
      </c>
      <c r="D89" s="11">
        <v>2902167.0</v>
      </c>
      <c r="E89" s="7">
        <f t="array" ref="E89">_xlfn.XLOOKUP($K89,
         'Лист2'!$G$2:$G$505,
         'Лист2'!$C$2:$C$505,
         "не найдено")</f>
        <v>19</v>
      </c>
      <c r="F89" s="7">
        <f t="array" ref="F89">_xlfn.XLOOKUP($K89,
         'Лист2'!$G$2:$G$505,
         'Лист2'!$D$2:$D$505,
         "не найдено")</f>
        <v>1851</v>
      </c>
      <c r="G89" s="7">
        <f t="array" ref="G89">_xlfn.XLOOKUP($K89,
         'Лист2'!$G$2:$G$505,
         'Лист2'!$D$2:$D$505,
         "не найдено")</f>
        <v>1851</v>
      </c>
      <c r="H89" s="8">
        <f t="shared" si="1"/>
        <v>152745.6316</v>
      </c>
      <c r="I89" s="8">
        <f t="shared" si="2"/>
        <v>19</v>
      </c>
      <c r="K89" s="8" t="str">
        <f t="shared" si="3"/>
        <v>43960|Нижний Новгород</v>
      </c>
    </row>
    <row r="90" ht="14.25" customHeight="1">
      <c r="A90" s="5">
        <v>43955.0</v>
      </c>
      <c r="B90" s="6" t="s">
        <v>21</v>
      </c>
      <c r="C90" s="6">
        <v>27072.0</v>
      </c>
      <c r="D90" s="6">
        <v>2450968.5</v>
      </c>
      <c r="E90" s="7">
        <f t="array" ref="E90">_xlfn.XLOOKUP($K90,
         'Лист2'!$G$2:$G$505,
         'Лист2'!$C$2:$C$505,
         "не найдено")</f>
        <v>19</v>
      </c>
      <c r="F90" s="7">
        <f t="array" ref="F90">_xlfn.XLOOKUP($K90,
         'Лист2'!$G$2:$G$505,
         'Лист2'!$D$2:$D$505,
         "не найдено")</f>
        <v>1582</v>
      </c>
      <c r="G90" s="7">
        <f t="array" ref="G90">_xlfn.XLOOKUP($K90,
         'Лист2'!$G$2:$G$505,
         'Лист2'!$D$2:$D$505,
         "не найдено")</f>
        <v>1582</v>
      </c>
      <c r="H90" s="8">
        <f t="shared" si="1"/>
        <v>128998.3421</v>
      </c>
      <c r="I90" s="8">
        <f t="shared" si="2"/>
        <v>19</v>
      </c>
      <c r="K90" s="8" t="str">
        <f t="shared" si="3"/>
        <v>43955|Нижний Новгород</v>
      </c>
    </row>
    <row r="91" ht="14.25" customHeight="1">
      <c r="A91" s="10">
        <v>43950.0</v>
      </c>
      <c r="B91" s="11" t="s">
        <v>21</v>
      </c>
      <c r="C91" s="11">
        <v>25917.0</v>
      </c>
      <c r="D91" s="11">
        <v>2397588.0</v>
      </c>
      <c r="E91" s="7">
        <f t="array" ref="E91">_xlfn.XLOOKUP($K91,
         'Лист2'!$G$2:$G$505,
         'Лист2'!$C$2:$C$505,
         "не найдено")</f>
        <v>18</v>
      </c>
      <c r="F91" s="7">
        <f t="array" ref="F91">_xlfn.XLOOKUP($K91,
         'Лист2'!$G$2:$G$505,
         'Лист2'!$D$2:$D$505,
         "не найдено")</f>
        <v>1534</v>
      </c>
      <c r="G91" s="7">
        <f t="array" ref="G91">_xlfn.XLOOKUP($K91,
         'Лист2'!$G$2:$G$505,
         'Лист2'!$D$2:$D$505,
         "не найдено")</f>
        <v>1534</v>
      </c>
      <c r="H91" s="8">
        <f t="shared" si="1"/>
        <v>133199.3333</v>
      </c>
      <c r="I91" s="8">
        <f t="shared" si="2"/>
        <v>18</v>
      </c>
      <c r="K91" s="8" t="str">
        <f t="shared" si="3"/>
        <v>43950|Нижний Новгород</v>
      </c>
    </row>
    <row r="92" ht="14.25" customHeight="1">
      <c r="A92" s="5">
        <v>43953.0</v>
      </c>
      <c r="B92" s="6" t="s">
        <v>21</v>
      </c>
      <c r="C92" s="6">
        <v>19461.0</v>
      </c>
      <c r="D92" s="6">
        <v>1799230.5</v>
      </c>
      <c r="E92" s="7">
        <f t="array" ref="E92">_xlfn.XLOOKUP($K92,
         'Лист2'!$G$2:$G$505,
         'Лист2'!$C$2:$C$505,
         "не найдено")</f>
        <v>19</v>
      </c>
      <c r="F92" s="7">
        <f t="array" ref="F92">_xlfn.XLOOKUP($K92,
         'Лист2'!$G$2:$G$505,
         'Лист2'!$D$2:$D$505,
         "не найдено")</f>
        <v>1217</v>
      </c>
      <c r="G92" s="7">
        <f t="array" ref="G92">_xlfn.XLOOKUP($K92,
         'Лист2'!$G$2:$G$505,
         'Лист2'!$D$2:$D$505,
         "не найдено")</f>
        <v>1217</v>
      </c>
      <c r="H92" s="8">
        <f t="shared" si="1"/>
        <v>94696.34211</v>
      </c>
      <c r="I92" s="8">
        <f t="shared" si="2"/>
        <v>18</v>
      </c>
      <c r="K92" s="8" t="str">
        <f t="shared" si="3"/>
        <v>43953|Нижний Новгород</v>
      </c>
    </row>
    <row r="93" ht="14.25" customHeight="1">
      <c r="A93" s="10">
        <v>43977.0</v>
      </c>
      <c r="B93" s="11" t="s">
        <v>21</v>
      </c>
      <c r="C93" s="11">
        <v>31407.0</v>
      </c>
      <c r="D93" s="11">
        <v>2907411.0</v>
      </c>
      <c r="E93" s="7">
        <f t="array" ref="E93">_xlfn.XLOOKUP($K93,
         'Лист2'!$G$2:$G$505,
         'Лист2'!$C$2:$C$505,
         "не найдено")</f>
        <v>20</v>
      </c>
      <c r="F93" s="7">
        <f t="array" ref="F93">_xlfn.XLOOKUP($K93,
         'Лист2'!$G$2:$G$505,
         'Лист2'!$D$2:$D$505,
         "не найдено")</f>
        <v>2036</v>
      </c>
      <c r="G93" s="7">
        <f t="array" ref="G93">_xlfn.XLOOKUP($K93,
         'Лист2'!$G$2:$G$505,
         'Лист2'!$D$2:$D$505,
         "не найдено")</f>
        <v>2036</v>
      </c>
      <c r="H93" s="8">
        <f t="shared" si="1"/>
        <v>145370.55</v>
      </c>
      <c r="I93" s="8">
        <f t="shared" si="2"/>
        <v>22</v>
      </c>
      <c r="K93" s="8" t="str">
        <f t="shared" si="3"/>
        <v>43977|Нижний Новгород</v>
      </c>
    </row>
    <row r="94" ht="14.25" customHeight="1">
      <c r="A94" s="5">
        <v>43952.0</v>
      </c>
      <c r="B94" s="6" t="s">
        <v>21</v>
      </c>
      <c r="C94" s="6">
        <v>25792.5</v>
      </c>
      <c r="D94" s="6">
        <v>2374356.0</v>
      </c>
      <c r="E94" s="7">
        <f t="array" ref="E94">_xlfn.XLOOKUP($K94,
         'Лист2'!$G$2:$G$505,
         'Лист2'!$C$2:$C$505,
         "не найдено")</f>
        <v>19</v>
      </c>
      <c r="F94" s="7">
        <f t="array" ref="F94">_xlfn.XLOOKUP($K94,
         'Лист2'!$G$2:$G$505,
         'Лист2'!$D$2:$D$505,
         "не найдено")</f>
        <v>1497</v>
      </c>
      <c r="G94" s="7">
        <f t="array" ref="G94">_xlfn.XLOOKUP($K94,
         'Лист2'!$G$2:$G$505,
         'Лист2'!$D$2:$D$505,
         "не найдено")</f>
        <v>1497</v>
      </c>
      <c r="H94" s="8">
        <f t="shared" si="1"/>
        <v>124966.1053</v>
      </c>
      <c r="I94" s="8">
        <f t="shared" si="2"/>
        <v>18</v>
      </c>
      <c r="K94" s="8" t="str">
        <f t="shared" si="3"/>
        <v>43952|Нижний Новгород</v>
      </c>
    </row>
    <row r="95" ht="14.25" customHeight="1">
      <c r="A95" s="10">
        <v>43963.0</v>
      </c>
      <c r="B95" s="11" t="s">
        <v>21</v>
      </c>
      <c r="C95" s="11">
        <v>26032.5</v>
      </c>
      <c r="D95" s="11">
        <v>2370432.0</v>
      </c>
      <c r="E95" s="7">
        <f t="array" ref="E95">_xlfn.XLOOKUP($K95,
         'Лист2'!$G$2:$G$505,
         'Лист2'!$C$2:$C$505,
         "не найдено")</f>
        <v>19</v>
      </c>
      <c r="F95" s="7">
        <f t="array" ref="F95">_xlfn.XLOOKUP($K95,
         'Лист2'!$G$2:$G$505,
         'Лист2'!$D$2:$D$505,
         "не найдено")</f>
        <v>1649</v>
      </c>
      <c r="G95" s="7">
        <f t="array" ref="G95">_xlfn.XLOOKUP($K95,
         'Лист2'!$G$2:$G$505,
         'Лист2'!$D$2:$D$505,
         "не найдено")</f>
        <v>1649</v>
      </c>
      <c r="H95" s="8">
        <f t="shared" si="1"/>
        <v>124759.5789</v>
      </c>
      <c r="I95" s="8">
        <f t="shared" si="2"/>
        <v>20</v>
      </c>
      <c r="K95" s="8" t="str">
        <f t="shared" si="3"/>
        <v>43963|Нижний Новгород</v>
      </c>
    </row>
    <row r="96" ht="14.25" customHeight="1">
      <c r="A96" s="5">
        <v>43972.0</v>
      </c>
      <c r="B96" s="6" t="s">
        <v>21</v>
      </c>
      <c r="C96" s="6">
        <v>31707.0</v>
      </c>
      <c r="D96" s="6">
        <v>2853181.5</v>
      </c>
      <c r="E96" s="7">
        <f t="array" ref="E96">_xlfn.XLOOKUP($K96,
         'Лист2'!$G$2:$G$505,
         'Лист2'!$C$2:$C$505,
         "не найдено")</f>
        <v>19</v>
      </c>
      <c r="F96" s="7">
        <f t="array" ref="F96">_xlfn.XLOOKUP($K96,
         'Лист2'!$G$2:$G$505,
         'Лист2'!$D$2:$D$505,
         "не найдено")</f>
        <v>1949</v>
      </c>
      <c r="G96" s="7">
        <f t="array" ref="G96">_xlfn.XLOOKUP($K96,
         'Лист2'!$G$2:$G$505,
         'Лист2'!$D$2:$D$505,
         "не найдено")</f>
        <v>1949</v>
      </c>
      <c r="H96" s="8">
        <f t="shared" si="1"/>
        <v>150167.4474</v>
      </c>
      <c r="I96" s="8">
        <f t="shared" si="2"/>
        <v>21</v>
      </c>
      <c r="K96" s="8" t="str">
        <f t="shared" si="3"/>
        <v>43972|Нижний Новгород</v>
      </c>
    </row>
    <row r="97" ht="14.25" customHeight="1">
      <c r="A97" s="10">
        <v>43971.0</v>
      </c>
      <c r="B97" s="11" t="s">
        <v>21</v>
      </c>
      <c r="C97" s="11">
        <v>29955.0</v>
      </c>
      <c r="D97" s="11">
        <v>2692230.0</v>
      </c>
      <c r="E97" s="7">
        <f t="array" ref="E97">_xlfn.XLOOKUP($K97,
         'Лист2'!$G$2:$G$505,
         'Лист2'!$C$2:$C$505,
         "не найдено")</f>
        <v>19</v>
      </c>
      <c r="F97" s="7">
        <f t="array" ref="F97">_xlfn.XLOOKUP($K97,
         'Лист2'!$G$2:$G$505,
         'Лист2'!$D$2:$D$505,
         "не найдено")</f>
        <v>1889</v>
      </c>
      <c r="G97" s="7">
        <f t="array" ref="G97">_xlfn.XLOOKUP($K97,
         'Лист2'!$G$2:$G$505,
         'Лист2'!$D$2:$D$505,
         "не найдено")</f>
        <v>1889</v>
      </c>
      <c r="H97" s="8">
        <f t="shared" si="1"/>
        <v>141696.3158</v>
      </c>
      <c r="I97" s="8">
        <f t="shared" si="2"/>
        <v>21</v>
      </c>
      <c r="K97" s="8" t="str">
        <f t="shared" si="3"/>
        <v>43971|Нижний Новгород</v>
      </c>
    </row>
    <row r="98" ht="14.25" customHeight="1">
      <c r="A98" s="5">
        <v>43956.0</v>
      </c>
      <c r="B98" s="6" t="s">
        <v>21</v>
      </c>
      <c r="C98" s="6">
        <v>22848.0</v>
      </c>
      <c r="D98" s="6">
        <v>2079900.0</v>
      </c>
      <c r="E98" s="7">
        <f t="array" ref="E98">_xlfn.XLOOKUP($K98,
         'Лист2'!$G$2:$G$505,
         'Лист2'!$C$2:$C$505,
         "не найдено")</f>
        <v>19</v>
      </c>
      <c r="F98" s="7">
        <f t="array" ref="F98">_xlfn.XLOOKUP($K98,
         'Лист2'!$G$2:$G$505,
         'Лист2'!$D$2:$D$505,
         "не найдено")</f>
        <v>1417</v>
      </c>
      <c r="G98" s="7">
        <f t="array" ref="G98">_xlfn.XLOOKUP($K98,
         'Лист2'!$G$2:$G$505,
         'Лист2'!$D$2:$D$505,
         "не найдено")</f>
        <v>1417</v>
      </c>
      <c r="H98" s="8">
        <f t="shared" si="1"/>
        <v>109468.4211</v>
      </c>
      <c r="I98" s="8">
        <f t="shared" si="2"/>
        <v>19</v>
      </c>
      <c r="K98" s="8" t="str">
        <f t="shared" si="3"/>
        <v>43956|Нижний Новгород</v>
      </c>
    </row>
    <row r="99" ht="14.25" customHeight="1">
      <c r="A99" s="10">
        <v>43949.0</v>
      </c>
      <c r="B99" s="11" t="s">
        <v>21</v>
      </c>
      <c r="C99" s="11">
        <v>23314.5</v>
      </c>
      <c r="D99" s="11">
        <v>2136817.5</v>
      </c>
      <c r="E99" s="7">
        <f t="array" ref="E99">_xlfn.XLOOKUP($K99,
         'Лист2'!$G$2:$G$505,
         'Лист2'!$C$2:$C$505,
         "не найдено")</f>
        <v>17</v>
      </c>
      <c r="F99" s="7">
        <f t="array" ref="F99">_xlfn.XLOOKUP($K99,
         'Лист2'!$G$2:$G$505,
         'Лист2'!$D$2:$D$505,
         "не найдено")</f>
        <v>1439</v>
      </c>
      <c r="G99" s="7">
        <f t="array" ref="G99">_xlfn.XLOOKUP($K99,
         'Лист2'!$G$2:$G$505,
         'Лист2'!$D$2:$D$505,
         "не найдено")</f>
        <v>1439</v>
      </c>
      <c r="H99" s="8">
        <f t="shared" si="1"/>
        <v>125695.1471</v>
      </c>
      <c r="I99" s="8">
        <f t="shared" si="2"/>
        <v>18</v>
      </c>
      <c r="K99" s="8" t="str">
        <f t="shared" si="3"/>
        <v>43949|Нижний Новгород</v>
      </c>
    </row>
    <row r="100" ht="14.25" customHeight="1">
      <c r="A100" s="5">
        <v>43964.0</v>
      </c>
      <c r="B100" s="6" t="s">
        <v>21</v>
      </c>
      <c r="C100" s="6">
        <v>26464.5</v>
      </c>
      <c r="D100" s="6">
        <v>2373337.5</v>
      </c>
      <c r="E100" s="7">
        <f t="array" ref="E100">_xlfn.XLOOKUP($K100,
         'Лист2'!$G$2:$G$505,
         'Лист2'!$C$2:$C$505,
         "не найдено")</f>
        <v>19</v>
      </c>
      <c r="F100" s="7">
        <f t="array" ref="F100">_xlfn.XLOOKUP($K100,
         'Лист2'!$G$2:$G$505,
         'Лист2'!$D$2:$D$505,
         "не найдено")</f>
        <v>1625</v>
      </c>
      <c r="G100" s="7">
        <f t="array" ref="G100">_xlfn.XLOOKUP($K100,
         'Лист2'!$G$2:$G$505,
         'Лист2'!$D$2:$D$505,
         "не найдено")</f>
        <v>1625</v>
      </c>
      <c r="H100" s="8">
        <f t="shared" si="1"/>
        <v>124912.5</v>
      </c>
      <c r="I100" s="8">
        <f t="shared" si="2"/>
        <v>20</v>
      </c>
      <c r="K100" s="8" t="str">
        <f t="shared" si="3"/>
        <v>43964|Нижний Новгород</v>
      </c>
    </row>
    <row r="101" ht="14.25" customHeight="1">
      <c r="A101" s="10">
        <v>43954.0</v>
      </c>
      <c r="B101" s="11" t="s">
        <v>21</v>
      </c>
      <c r="C101" s="11">
        <v>23539.5</v>
      </c>
      <c r="D101" s="11">
        <v>2170309.5</v>
      </c>
      <c r="E101" s="7">
        <f t="array" ref="E101">_xlfn.XLOOKUP($K101,
         'Лист2'!$G$2:$G$505,
         'Лист2'!$C$2:$C$505,
         "не найдено")</f>
        <v>19</v>
      </c>
      <c r="F101" s="7">
        <f t="array" ref="F101">_xlfn.XLOOKUP($K101,
         'Лист2'!$G$2:$G$505,
         'Лист2'!$D$2:$D$505,
         "не найдено")</f>
        <v>1402</v>
      </c>
      <c r="G101" s="7">
        <f t="array" ref="G101">_xlfn.XLOOKUP($K101,
         'Лист2'!$G$2:$G$505,
         'Лист2'!$D$2:$D$505,
         "не найдено")</f>
        <v>1402</v>
      </c>
      <c r="H101" s="8">
        <f t="shared" si="1"/>
        <v>114226.8158</v>
      </c>
      <c r="I101" s="8">
        <f t="shared" si="2"/>
        <v>18</v>
      </c>
      <c r="K101" s="8" t="str">
        <f t="shared" si="3"/>
        <v>43954|Нижний Новгород</v>
      </c>
    </row>
    <row r="102" ht="14.25" customHeight="1">
      <c r="A102" s="5">
        <v>43957.0</v>
      </c>
      <c r="B102" s="6" t="s">
        <v>21</v>
      </c>
      <c r="C102" s="6">
        <v>24678.0</v>
      </c>
      <c r="D102" s="6">
        <v>2232519.0</v>
      </c>
      <c r="E102" s="7">
        <f t="array" ref="E102">_xlfn.XLOOKUP($K102,
         'Лист2'!$G$2:$G$505,
         'Лист2'!$C$2:$C$505,
         "не найдено")</f>
        <v>19</v>
      </c>
      <c r="F102" s="7">
        <f t="array" ref="F102">_xlfn.XLOOKUP($K102,
         'Лист2'!$G$2:$G$505,
         'Лист2'!$D$2:$D$505,
         "не найдено")</f>
        <v>1499</v>
      </c>
      <c r="G102" s="7">
        <f t="array" ref="G102">_xlfn.XLOOKUP($K102,
         'Лист2'!$G$2:$G$505,
         'Лист2'!$D$2:$D$505,
         "не найдено")</f>
        <v>1499</v>
      </c>
      <c r="H102" s="8">
        <f t="shared" si="1"/>
        <v>117501</v>
      </c>
      <c r="I102" s="8">
        <f t="shared" si="2"/>
        <v>19</v>
      </c>
      <c r="K102" s="8" t="str">
        <f t="shared" si="3"/>
        <v>43957|Нижний Новгород</v>
      </c>
    </row>
    <row r="103" ht="14.25" customHeight="1">
      <c r="A103" s="10">
        <v>43974.0</v>
      </c>
      <c r="B103" s="11" t="s">
        <v>21</v>
      </c>
      <c r="C103" s="11">
        <v>38176.5</v>
      </c>
      <c r="D103" s="11">
        <v>3385372.5</v>
      </c>
      <c r="E103" s="7">
        <f t="array" ref="E103">_xlfn.XLOOKUP($K103,
         'Лист2'!$G$2:$G$505,
         'Лист2'!$C$2:$C$505,
         "не найдено")</f>
        <v>20</v>
      </c>
      <c r="F103" s="7">
        <f t="array" ref="F103">_xlfn.XLOOKUP($K103,
         'Лист2'!$G$2:$G$505,
         'Лист2'!$D$2:$D$505,
         "не найдено")</f>
        <v>2266</v>
      </c>
      <c r="G103" s="7">
        <f t="array" ref="G103">_xlfn.XLOOKUP($K103,
         'Лист2'!$G$2:$G$505,
         'Лист2'!$D$2:$D$505,
         "не найдено")</f>
        <v>2266</v>
      </c>
      <c r="H103" s="8">
        <f t="shared" si="1"/>
        <v>169268.625</v>
      </c>
      <c r="I103" s="8">
        <f t="shared" si="2"/>
        <v>21</v>
      </c>
      <c r="K103" s="8" t="str">
        <f t="shared" si="3"/>
        <v>43974|Нижний Новгород</v>
      </c>
    </row>
    <row r="104" ht="14.25" customHeight="1">
      <c r="A104" s="5">
        <v>43976.0</v>
      </c>
      <c r="B104" s="6" t="s">
        <v>21</v>
      </c>
      <c r="C104" s="6">
        <v>30603.0</v>
      </c>
      <c r="D104" s="6">
        <v>2865727.5</v>
      </c>
      <c r="E104" s="7">
        <f t="array" ref="E104">_xlfn.XLOOKUP($K104,
         'Лист2'!$G$2:$G$505,
         'Лист2'!$C$2:$C$505,
         "не найдено")</f>
        <v>20</v>
      </c>
      <c r="F104" s="7">
        <f t="array" ref="F104">_xlfn.XLOOKUP($K104,
         'Лист2'!$G$2:$G$505,
         'Лист2'!$D$2:$D$505,
         "не найдено")</f>
        <v>2011</v>
      </c>
      <c r="G104" s="7">
        <f t="array" ref="G104">_xlfn.XLOOKUP($K104,
         'Лист2'!$G$2:$G$505,
         'Лист2'!$D$2:$D$505,
         "не найдено")</f>
        <v>2011</v>
      </c>
      <c r="H104" s="8">
        <f t="shared" si="1"/>
        <v>143286.375</v>
      </c>
      <c r="I104" s="8">
        <f t="shared" si="2"/>
        <v>22</v>
      </c>
      <c r="K104" s="8" t="str">
        <f t="shared" si="3"/>
        <v>43976|Нижний Новгород</v>
      </c>
    </row>
    <row r="105" ht="14.25" customHeight="1">
      <c r="A105" s="10">
        <v>43951.0</v>
      </c>
      <c r="B105" s="11" t="s">
        <v>21</v>
      </c>
      <c r="C105" s="11">
        <v>24211.5</v>
      </c>
      <c r="D105" s="11">
        <v>2267664.0</v>
      </c>
      <c r="E105" s="7">
        <f t="array" ref="E105">_xlfn.XLOOKUP($K105,
         'Лист2'!$G$2:$G$505,
         'Лист2'!$C$2:$C$505,
         "не найдено")</f>
        <v>19</v>
      </c>
      <c r="F105" s="7">
        <f t="array" ref="F105">_xlfn.XLOOKUP($K105,
         'Лист2'!$G$2:$G$505,
         'Лист2'!$D$2:$D$505,
         "не найдено")</f>
        <v>1499</v>
      </c>
      <c r="G105" s="7">
        <f t="array" ref="G105">_xlfn.XLOOKUP($K105,
         'Лист2'!$G$2:$G$505,
         'Лист2'!$D$2:$D$505,
         "не найдено")</f>
        <v>1499</v>
      </c>
      <c r="H105" s="8">
        <f t="shared" si="1"/>
        <v>119350.7368</v>
      </c>
      <c r="I105" s="8">
        <f t="shared" si="2"/>
        <v>18</v>
      </c>
      <c r="K105" s="8" t="str">
        <f t="shared" si="3"/>
        <v>43951|Нижний Новгород</v>
      </c>
    </row>
    <row r="106" ht="14.25" customHeight="1">
      <c r="A106" s="5">
        <v>43961.0</v>
      </c>
      <c r="B106" s="6" t="s">
        <v>21</v>
      </c>
      <c r="C106" s="6">
        <v>31399.5</v>
      </c>
      <c r="D106" s="6">
        <v>2862298.5</v>
      </c>
      <c r="E106" s="7">
        <f t="array" ref="E106">_xlfn.XLOOKUP($K106,
         'Лист2'!$G$2:$G$505,
         'Лист2'!$C$2:$C$505,
         "не найдено")</f>
        <v>19</v>
      </c>
      <c r="F106" s="7">
        <f t="array" ref="F106">_xlfn.XLOOKUP($K106,
         'Лист2'!$G$2:$G$505,
         'Лист2'!$D$2:$D$505,
         "не найдено")</f>
        <v>1848</v>
      </c>
      <c r="G106" s="7">
        <f t="array" ref="G106">_xlfn.XLOOKUP($K106,
         'Лист2'!$G$2:$G$505,
         'Лист2'!$D$2:$D$505,
         "не найдено")</f>
        <v>1848</v>
      </c>
      <c r="H106" s="8">
        <f t="shared" si="1"/>
        <v>150647.2895</v>
      </c>
      <c r="I106" s="8">
        <f t="shared" si="2"/>
        <v>19</v>
      </c>
      <c r="K106" s="8" t="str">
        <f t="shared" si="3"/>
        <v>43961|Нижний Новгород</v>
      </c>
    </row>
    <row r="107" ht="14.25" customHeight="1">
      <c r="A107" s="10">
        <v>43959.0</v>
      </c>
      <c r="B107" s="11" t="s">
        <v>21</v>
      </c>
      <c r="C107" s="11">
        <v>25294.5</v>
      </c>
      <c r="D107" s="11">
        <v>2271454.5</v>
      </c>
      <c r="E107" s="7">
        <f t="array" ref="E107">_xlfn.XLOOKUP($K107,
         'Лист2'!$G$2:$G$505,
         'Лист2'!$C$2:$C$505,
         "не найдено")</f>
        <v>19</v>
      </c>
      <c r="F107" s="7">
        <f t="array" ref="F107">_xlfn.XLOOKUP($K107,
         'Лист2'!$G$2:$G$505,
         'Лист2'!$D$2:$D$505,
         "не найдено")</f>
        <v>1522</v>
      </c>
      <c r="G107" s="7">
        <f t="array" ref="G107">_xlfn.XLOOKUP($K107,
         'Лист2'!$G$2:$G$505,
         'Лист2'!$D$2:$D$505,
         "не найдено")</f>
        <v>1522</v>
      </c>
      <c r="H107" s="8">
        <f t="shared" si="1"/>
        <v>119550.2368</v>
      </c>
      <c r="I107" s="8">
        <f t="shared" si="2"/>
        <v>19</v>
      </c>
      <c r="K107" s="8" t="str">
        <f t="shared" si="3"/>
        <v>43959|Нижний Новгород</v>
      </c>
    </row>
    <row r="108" ht="14.25" customHeight="1">
      <c r="A108" s="5">
        <v>43958.0</v>
      </c>
      <c r="B108" s="6" t="s">
        <v>21</v>
      </c>
      <c r="C108" s="6">
        <v>25468.5</v>
      </c>
      <c r="D108" s="6">
        <v>2350672.5</v>
      </c>
      <c r="E108" s="7">
        <f t="array" ref="E108">_xlfn.XLOOKUP($K108,
         'Лист2'!$G$2:$G$505,
         'Лист2'!$C$2:$C$505,
         "не найдено")</f>
        <v>19</v>
      </c>
      <c r="F108" s="7">
        <f t="array" ref="F108">_xlfn.XLOOKUP($K108,
         'Лист2'!$G$2:$G$505,
         'Лист2'!$D$2:$D$505,
         "не найдено")</f>
        <v>1530</v>
      </c>
      <c r="G108" s="7">
        <f t="array" ref="G108">_xlfn.XLOOKUP($K108,
         'Лист2'!$G$2:$G$505,
         'Лист2'!$D$2:$D$505,
         "не найдено")</f>
        <v>1530</v>
      </c>
      <c r="H108" s="8">
        <f t="shared" si="1"/>
        <v>123719.6053</v>
      </c>
      <c r="I108" s="8">
        <f t="shared" si="2"/>
        <v>19</v>
      </c>
      <c r="K108" s="8" t="str">
        <f t="shared" si="3"/>
        <v>43958|Нижний Новгород</v>
      </c>
    </row>
    <row r="109" ht="14.25" customHeight="1">
      <c r="A109" s="10">
        <v>43975.0</v>
      </c>
      <c r="B109" s="11" t="s">
        <v>21</v>
      </c>
      <c r="C109" s="11">
        <v>31854.0</v>
      </c>
      <c r="D109" s="11">
        <v>2915533.5</v>
      </c>
      <c r="E109" s="7">
        <f t="array" ref="E109">_xlfn.XLOOKUP($K109,
         'Лист2'!$G$2:$G$505,
         'Лист2'!$C$2:$C$505,
         "не найдено")</f>
        <v>20</v>
      </c>
      <c r="F109" s="7">
        <f t="array" ref="F109">_xlfn.XLOOKUP($K109,
         'Лист2'!$G$2:$G$505,
         'Лист2'!$D$2:$D$505,
         "не найдено")</f>
        <v>2015</v>
      </c>
      <c r="G109" s="7">
        <f t="array" ref="G109">_xlfn.XLOOKUP($K109,
         'Лист2'!$G$2:$G$505,
         'Лист2'!$D$2:$D$505,
         "не найдено")</f>
        <v>2015</v>
      </c>
      <c r="H109" s="8">
        <f t="shared" si="1"/>
        <v>145776.675</v>
      </c>
      <c r="I109" s="8">
        <f t="shared" si="2"/>
        <v>21</v>
      </c>
      <c r="K109" s="8" t="str">
        <f t="shared" si="3"/>
        <v>43975|Нижний Новгород</v>
      </c>
    </row>
    <row r="110" ht="14.25" customHeight="1">
      <c r="A110" s="5">
        <v>43982.0</v>
      </c>
      <c r="B110" s="6" t="s">
        <v>21</v>
      </c>
      <c r="C110" s="6">
        <v>32359.5</v>
      </c>
      <c r="D110" s="6">
        <v>2991999.0</v>
      </c>
      <c r="E110" s="7">
        <f t="array" ref="E110">_xlfn.XLOOKUP($K110,
         'Лист2'!$G$2:$G$505,
         'Лист2'!$C$2:$C$505,
         "не найдено")</f>
        <v>20</v>
      </c>
      <c r="F110" s="7">
        <f t="array" ref="F110">_xlfn.XLOOKUP($K110,
         'Лист2'!$G$2:$G$505,
         'Лист2'!$D$2:$D$505,
         "не найдено")</f>
        <v>2060</v>
      </c>
      <c r="G110" s="7">
        <f t="array" ref="G110">_xlfn.XLOOKUP($K110,
         'Лист2'!$G$2:$G$505,
         'Лист2'!$D$2:$D$505,
         "не найдено")</f>
        <v>2060</v>
      </c>
      <c r="H110" s="8">
        <f t="shared" si="1"/>
        <v>149599.95</v>
      </c>
      <c r="I110" s="8">
        <f t="shared" si="2"/>
        <v>22</v>
      </c>
      <c r="K110" s="8" t="str">
        <f t="shared" si="3"/>
        <v>43982|Нижний Новгород</v>
      </c>
    </row>
    <row r="111" ht="14.25" customHeight="1">
      <c r="A111" s="10">
        <v>43981.0</v>
      </c>
      <c r="B111" s="11" t="s">
        <v>21</v>
      </c>
      <c r="C111" s="11">
        <v>39867.0</v>
      </c>
      <c r="D111" s="11">
        <v>3654166.5</v>
      </c>
      <c r="E111" s="7">
        <f t="array" ref="E111">_xlfn.XLOOKUP($K111,
         'Лист2'!$G$2:$G$505,
         'Лист2'!$C$2:$C$505,
         "не найдено")</f>
        <v>20</v>
      </c>
      <c r="F111" s="7">
        <f t="array" ref="F111">_xlfn.XLOOKUP($K111,
         'Лист2'!$G$2:$G$505,
         'Лист2'!$D$2:$D$505,
         "не найдено")</f>
        <v>2451</v>
      </c>
      <c r="G111" s="7">
        <f t="array" ref="G111">_xlfn.XLOOKUP($K111,
         'Лист2'!$G$2:$G$505,
         'Лист2'!$D$2:$D$505,
         "не найдено")</f>
        <v>2451</v>
      </c>
      <c r="H111" s="8">
        <f t="shared" si="1"/>
        <v>182708.325</v>
      </c>
      <c r="I111" s="8">
        <f t="shared" si="2"/>
        <v>22</v>
      </c>
      <c r="K111" s="8" t="str">
        <f t="shared" si="3"/>
        <v>43981|Нижний Новгород</v>
      </c>
    </row>
    <row r="112" ht="14.25" customHeight="1">
      <c r="A112" s="5">
        <v>43979.0</v>
      </c>
      <c r="B112" s="6" t="s">
        <v>21</v>
      </c>
      <c r="C112" s="6">
        <v>31974.0</v>
      </c>
      <c r="D112" s="6">
        <v>3004213.5</v>
      </c>
      <c r="E112" s="7">
        <f t="array" ref="E112">_xlfn.XLOOKUP($K112,
         'Лист2'!$G$2:$G$505,
         'Лист2'!$C$2:$C$505,
         "не найдено")</f>
        <v>20</v>
      </c>
      <c r="F112" s="7">
        <f t="array" ref="F112">_xlfn.XLOOKUP($K112,
         'Лист2'!$G$2:$G$505,
         'Лист2'!$D$2:$D$505,
         "не найдено")</f>
        <v>2088</v>
      </c>
      <c r="G112" s="7">
        <f t="array" ref="G112">_xlfn.XLOOKUP($K112,
         'Лист2'!$G$2:$G$505,
         'Лист2'!$D$2:$D$505,
         "не найдено")</f>
        <v>2088</v>
      </c>
      <c r="H112" s="8">
        <f t="shared" si="1"/>
        <v>150210.675</v>
      </c>
      <c r="I112" s="8">
        <f t="shared" si="2"/>
        <v>22</v>
      </c>
      <c r="K112" s="8" t="str">
        <f t="shared" si="3"/>
        <v>43979|Нижний Новгород</v>
      </c>
    </row>
    <row r="113" ht="14.25" customHeight="1">
      <c r="A113" s="10">
        <v>43967.0</v>
      </c>
      <c r="B113" s="11" t="s">
        <v>18</v>
      </c>
      <c r="C113" s="11">
        <v>321412.5</v>
      </c>
      <c r="D113" s="11">
        <v>3.2235864E7</v>
      </c>
      <c r="E113" s="7">
        <f t="array" ref="E113">_xlfn.XLOOKUP($K113,
         'Лист2'!$G$2:$G$505,
         'Лист2'!$C$2:$C$505,
         "не найдено")</f>
        <v>129</v>
      </c>
      <c r="F113" s="7">
        <f t="array" ref="F113">_xlfn.XLOOKUP($K113,
         'Лист2'!$G$2:$G$505,
         'Лист2'!$D$2:$D$505,
         "не найдено")</f>
        <v>17914</v>
      </c>
      <c r="G113" s="7">
        <f t="array" ref="G113">_xlfn.XLOOKUP($K113,
         'Лист2'!$G$2:$G$505,
         'Лист2'!$D$2:$D$505,
         "не найдено")</f>
        <v>17914</v>
      </c>
      <c r="H113" s="8">
        <f t="shared" si="1"/>
        <v>249890.4186</v>
      </c>
      <c r="I113" s="8">
        <f t="shared" si="2"/>
        <v>20</v>
      </c>
      <c r="K113" s="8" t="str">
        <f t="shared" si="3"/>
        <v>43967|Санкт-Петербург Юг</v>
      </c>
    </row>
    <row r="114" ht="14.25" customHeight="1">
      <c r="A114" s="5">
        <v>43970.0</v>
      </c>
      <c r="B114" s="6" t="s">
        <v>18</v>
      </c>
      <c r="C114" s="6">
        <v>276568.5</v>
      </c>
      <c r="D114" s="6">
        <v>2.7093624E7</v>
      </c>
      <c r="E114" s="7">
        <f t="array" ref="E114">_xlfn.XLOOKUP($K114,
         'Лист2'!$G$2:$G$505,
         'Лист2'!$C$2:$C$505,
         "не найдено")</f>
        <v>129</v>
      </c>
      <c r="F114" s="7">
        <f t="array" ref="F114">_xlfn.XLOOKUP($K114,
         'Лист2'!$G$2:$G$505,
         'Лист2'!$D$2:$D$505,
         "не найдено")</f>
        <v>16191</v>
      </c>
      <c r="G114" s="7">
        <f t="array" ref="G114">_xlfn.XLOOKUP($K114,
         'Лист2'!$G$2:$G$505,
         'Лист2'!$D$2:$D$505,
         "не найдено")</f>
        <v>16191</v>
      </c>
      <c r="H114" s="8">
        <f t="shared" si="1"/>
        <v>210028.093</v>
      </c>
      <c r="I114" s="8">
        <f t="shared" si="2"/>
        <v>21</v>
      </c>
      <c r="K114" s="8" t="str">
        <f t="shared" si="3"/>
        <v>43970|Санкт-Петербург Юг</v>
      </c>
    </row>
    <row r="115" ht="14.25" customHeight="1">
      <c r="A115" s="10">
        <v>43968.0</v>
      </c>
      <c r="B115" s="11" t="s">
        <v>18</v>
      </c>
      <c r="C115" s="11">
        <v>269029.5</v>
      </c>
      <c r="D115" s="11">
        <v>2.66599305E7</v>
      </c>
      <c r="E115" s="7">
        <f t="array" ref="E115">_xlfn.XLOOKUP($K115,
         'Лист2'!$G$2:$G$505,
         'Лист2'!$C$2:$C$505,
         "не найдено")</f>
        <v>129</v>
      </c>
      <c r="F115" s="7">
        <f t="array" ref="F115">_xlfn.XLOOKUP($K115,
         'Лист2'!$G$2:$G$505,
         'Лист2'!$D$2:$D$505,
         "не найдено")</f>
        <v>15744</v>
      </c>
      <c r="G115" s="7">
        <f t="array" ref="G115">_xlfn.XLOOKUP($K115,
         'Лист2'!$G$2:$G$505,
         'Лист2'!$D$2:$D$505,
         "не найдено")</f>
        <v>15744</v>
      </c>
      <c r="H115" s="8">
        <f t="shared" si="1"/>
        <v>206666.1279</v>
      </c>
      <c r="I115" s="8">
        <f t="shared" si="2"/>
        <v>20</v>
      </c>
      <c r="K115" s="8" t="str">
        <f t="shared" si="3"/>
        <v>43968|Санкт-Петербург Юг</v>
      </c>
    </row>
    <row r="116" ht="14.25" customHeight="1">
      <c r="A116" s="5">
        <v>43960.0</v>
      </c>
      <c r="B116" s="6" t="s">
        <v>18</v>
      </c>
      <c r="C116" s="6">
        <v>285972.0</v>
      </c>
      <c r="D116" s="6">
        <v>2.9768199E7</v>
      </c>
      <c r="E116" s="7">
        <f t="array" ref="E116">_xlfn.XLOOKUP($K116,
         'Лист2'!$G$2:$G$505,
         'Лист2'!$C$2:$C$505,
         "не найдено")</f>
        <v>129</v>
      </c>
      <c r="F116" s="7">
        <f t="array" ref="F116">_xlfn.XLOOKUP($K116,
         'Лист2'!$G$2:$G$505,
         'Лист2'!$D$2:$D$505,
         "не найдено")</f>
        <v>16420</v>
      </c>
      <c r="G116" s="7">
        <f t="array" ref="G116">_xlfn.XLOOKUP($K116,
         'Лист2'!$G$2:$G$505,
         'Лист2'!$D$2:$D$505,
         "не найдено")</f>
        <v>16420</v>
      </c>
      <c r="H116" s="8">
        <f t="shared" si="1"/>
        <v>230761.2326</v>
      </c>
      <c r="I116" s="8">
        <f t="shared" si="2"/>
        <v>19</v>
      </c>
      <c r="K116" s="8" t="str">
        <f t="shared" si="3"/>
        <v>43960|Санкт-Петербург Юг</v>
      </c>
    </row>
    <row r="117" ht="14.25" customHeight="1">
      <c r="A117" s="10">
        <v>43955.0</v>
      </c>
      <c r="B117" s="11" t="s">
        <v>18</v>
      </c>
      <c r="C117" s="11">
        <v>283942.5</v>
      </c>
      <c r="D117" s="11">
        <v>2.935794E7</v>
      </c>
      <c r="E117" s="7">
        <f t="array" ref="E117">_xlfn.XLOOKUP($K117,
         'Лист2'!$G$2:$G$505,
         'Лист2'!$C$2:$C$505,
         "не найдено")</f>
        <v>129</v>
      </c>
      <c r="F117" s="7">
        <f t="array" ref="F117">_xlfn.XLOOKUP($K117,
         'Лист2'!$G$2:$G$505,
         'Лист2'!$D$2:$D$505,
         "не найдено")</f>
        <v>16525</v>
      </c>
      <c r="G117" s="7">
        <f t="array" ref="G117">_xlfn.XLOOKUP($K117,
         'Лист2'!$G$2:$G$505,
         'Лист2'!$D$2:$D$505,
         "не найдено")</f>
        <v>16525</v>
      </c>
      <c r="H117" s="8">
        <f t="shared" si="1"/>
        <v>227580.9302</v>
      </c>
      <c r="I117" s="8">
        <f t="shared" si="2"/>
        <v>19</v>
      </c>
      <c r="K117" s="8" t="str">
        <f t="shared" si="3"/>
        <v>43955|Санкт-Петербург Юг</v>
      </c>
    </row>
    <row r="118" ht="14.25" customHeight="1">
      <c r="A118" s="5">
        <v>43950.0</v>
      </c>
      <c r="B118" s="6" t="s">
        <v>18</v>
      </c>
      <c r="C118" s="6">
        <v>298059.0</v>
      </c>
      <c r="D118" s="6">
        <v>3.08692875E7</v>
      </c>
      <c r="E118" s="7">
        <f t="array" ref="E118">_xlfn.XLOOKUP($K118,
         'Лист2'!$G$2:$G$505,
         'Лист2'!$C$2:$C$505,
         "не найдено")</f>
        <v>128</v>
      </c>
      <c r="F118" s="7">
        <f t="array" ref="F118">_xlfn.XLOOKUP($K118,
         'Лист2'!$G$2:$G$505,
         'Лист2'!$D$2:$D$505,
         "не найдено")</f>
        <v>17368</v>
      </c>
      <c r="G118" s="7">
        <f t="array" ref="G118">_xlfn.XLOOKUP($K118,
         'Лист2'!$G$2:$G$505,
         'Лист2'!$D$2:$D$505,
         "не найдено")</f>
        <v>17368</v>
      </c>
      <c r="H118" s="8">
        <f t="shared" si="1"/>
        <v>241166.3086</v>
      </c>
      <c r="I118" s="8">
        <f t="shared" si="2"/>
        <v>18</v>
      </c>
      <c r="K118" s="8" t="str">
        <f t="shared" si="3"/>
        <v>43950|Санкт-Петербург Юг</v>
      </c>
    </row>
    <row r="119" ht="14.25" customHeight="1">
      <c r="A119" s="10">
        <v>43953.0</v>
      </c>
      <c r="B119" s="11" t="s">
        <v>18</v>
      </c>
      <c r="C119" s="11">
        <v>232903.5</v>
      </c>
      <c r="D119" s="11">
        <v>2.43420165E7</v>
      </c>
      <c r="E119" s="7">
        <f t="array" ref="E119">_xlfn.XLOOKUP($K119,
         'Лист2'!$G$2:$G$505,
         'Лист2'!$C$2:$C$505,
         "не найдено")</f>
        <v>129</v>
      </c>
      <c r="F119" s="7">
        <f t="array" ref="F119">_xlfn.XLOOKUP($K119,
         'Лист2'!$G$2:$G$505,
         'Лист2'!$D$2:$D$505,
         "не найдено")</f>
        <v>14009</v>
      </c>
      <c r="G119" s="7">
        <f t="array" ref="G119">_xlfn.XLOOKUP($K119,
         'Лист2'!$G$2:$G$505,
         'Лист2'!$D$2:$D$505,
         "не найдено")</f>
        <v>14009</v>
      </c>
      <c r="H119" s="8">
        <f t="shared" si="1"/>
        <v>188697.8023</v>
      </c>
      <c r="I119" s="8">
        <f t="shared" si="2"/>
        <v>18</v>
      </c>
      <c r="K119" s="8" t="str">
        <f t="shared" si="3"/>
        <v>43953|Санкт-Петербург Юг</v>
      </c>
    </row>
    <row r="120" ht="14.25" customHeight="1">
      <c r="A120" s="5">
        <v>43977.0</v>
      </c>
      <c r="B120" s="6" t="s">
        <v>18</v>
      </c>
      <c r="C120" s="6">
        <v>276966.0</v>
      </c>
      <c r="D120" s="6">
        <v>2.787261789885E7</v>
      </c>
      <c r="E120" s="7">
        <f t="array" ref="E120">_xlfn.XLOOKUP($K120,
         'Лист2'!$G$2:$G$505,
         'Лист2'!$C$2:$C$505,
         "не найдено")</f>
        <v>129</v>
      </c>
      <c r="F120" s="7">
        <f t="array" ref="F120">_xlfn.XLOOKUP($K120,
         'Лист2'!$G$2:$G$505,
         'Лист2'!$D$2:$D$505,
         "не найдено")</f>
        <v>16459</v>
      </c>
      <c r="G120" s="7">
        <f t="array" ref="G120">_xlfn.XLOOKUP($K120,
         'Лист2'!$G$2:$G$505,
         'Лист2'!$D$2:$D$505,
         "не найдено")</f>
        <v>16459</v>
      </c>
      <c r="H120" s="8">
        <f t="shared" si="1"/>
        <v>216066.8054</v>
      </c>
      <c r="I120" s="8">
        <f t="shared" si="2"/>
        <v>22</v>
      </c>
      <c r="K120" s="8" t="str">
        <f t="shared" si="3"/>
        <v>43977|Санкт-Петербург Юг</v>
      </c>
    </row>
    <row r="121" ht="14.25" customHeight="1">
      <c r="A121" s="10">
        <v>43952.0</v>
      </c>
      <c r="B121" s="11" t="s">
        <v>18</v>
      </c>
      <c r="C121" s="11">
        <v>296149.5</v>
      </c>
      <c r="D121" s="11">
        <v>3.10533165E7</v>
      </c>
      <c r="E121" s="7">
        <f t="array" ref="E121">_xlfn.XLOOKUP($K121,
         'Лист2'!$G$2:$G$505,
         'Лист2'!$C$2:$C$505,
         "не найдено")</f>
        <v>129</v>
      </c>
      <c r="F121" s="7">
        <f t="array" ref="F121">_xlfn.XLOOKUP($K121,
         'Лист2'!$G$2:$G$505,
         'Лист2'!$D$2:$D$505,
         "не найдено")</f>
        <v>17002</v>
      </c>
      <c r="G121" s="7">
        <f t="array" ref="G121">_xlfn.XLOOKUP($K121,
         'Лист2'!$G$2:$G$505,
         'Лист2'!$D$2:$D$505,
         "не найдено")</f>
        <v>17002</v>
      </c>
      <c r="H121" s="8">
        <f t="shared" si="1"/>
        <v>240723.3837</v>
      </c>
      <c r="I121" s="8">
        <f t="shared" si="2"/>
        <v>18</v>
      </c>
      <c r="K121" s="8" t="str">
        <f t="shared" si="3"/>
        <v>43952|Санкт-Петербург Юг</v>
      </c>
    </row>
    <row r="122" ht="14.25" customHeight="1">
      <c r="A122" s="5">
        <v>43963.0</v>
      </c>
      <c r="B122" s="6" t="s">
        <v>18</v>
      </c>
      <c r="C122" s="6">
        <v>281796.0</v>
      </c>
      <c r="D122" s="6">
        <v>2.904252E7</v>
      </c>
      <c r="E122" s="7">
        <f t="array" ref="E122">_xlfn.XLOOKUP($K122,
         'Лист2'!$G$2:$G$505,
         'Лист2'!$C$2:$C$505,
         "не найдено")</f>
        <v>129</v>
      </c>
      <c r="F122" s="7">
        <f t="array" ref="F122">_xlfn.XLOOKUP($K122,
         'Лист2'!$G$2:$G$505,
         'Лист2'!$D$2:$D$505,
         "не найдено")</f>
        <v>16387</v>
      </c>
      <c r="G122" s="7">
        <f t="array" ref="G122">_xlfn.XLOOKUP($K122,
         'Лист2'!$G$2:$G$505,
         'Лист2'!$D$2:$D$505,
         "не найдено")</f>
        <v>16387</v>
      </c>
      <c r="H122" s="8">
        <f t="shared" si="1"/>
        <v>225135.814</v>
      </c>
      <c r="I122" s="8">
        <f t="shared" si="2"/>
        <v>20</v>
      </c>
      <c r="K122" s="8" t="str">
        <f t="shared" si="3"/>
        <v>43963|Санкт-Петербург Юг</v>
      </c>
    </row>
    <row r="123" ht="14.25" customHeight="1">
      <c r="A123" s="10">
        <v>43972.0</v>
      </c>
      <c r="B123" s="11" t="s">
        <v>18</v>
      </c>
      <c r="C123" s="11">
        <v>288936.0</v>
      </c>
      <c r="D123" s="11">
        <v>2.78529E7</v>
      </c>
      <c r="E123" s="7">
        <f t="array" ref="E123">_xlfn.XLOOKUP($K123,
         'Лист2'!$G$2:$G$505,
         'Лист2'!$C$2:$C$505,
         "не найдено")</f>
        <v>129</v>
      </c>
      <c r="F123" s="7">
        <f t="array" ref="F123">_xlfn.XLOOKUP($K123,
         'Лист2'!$G$2:$G$505,
         'Лист2'!$D$2:$D$505,
         "не найдено")</f>
        <v>16373</v>
      </c>
      <c r="G123" s="7">
        <f t="array" ref="G123">_xlfn.XLOOKUP($K123,
         'Лист2'!$G$2:$G$505,
         'Лист2'!$D$2:$D$505,
         "не найдено")</f>
        <v>16373</v>
      </c>
      <c r="H123" s="8">
        <f t="shared" si="1"/>
        <v>215913.9535</v>
      </c>
      <c r="I123" s="8">
        <f t="shared" si="2"/>
        <v>21</v>
      </c>
      <c r="K123" s="8" t="str">
        <f t="shared" si="3"/>
        <v>43972|Санкт-Петербург Юг</v>
      </c>
    </row>
    <row r="124" ht="14.25" customHeight="1">
      <c r="A124" s="5">
        <v>43971.0</v>
      </c>
      <c r="B124" s="6" t="s">
        <v>18</v>
      </c>
      <c r="C124" s="6">
        <v>300151.5</v>
      </c>
      <c r="D124" s="6">
        <v>2.936877161745E7</v>
      </c>
      <c r="E124" s="7">
        <f t="array" ref="E124">_xlfn.XLOOKUP($K124,
         'Лист2'!$G$2:$G$505,
         'Лист2'!$C$2:$C$505,
         "не найдено")</f>
        <v>129</v>
      </c>
      <c r="F124" s="7">
        <f t="array" ref="F124">_xlfn.XLOOKUP($K124,
         'Лист2'!$G$2:$G$505,
         'Лист2'!$D$2:$D$505,
         "не найдено")</f>
        <v>17095</v>
      </c>
      <c r="G124" s="7">
        <f t="array" ref="G124">_xlfn.XLOOKUP($K124,
         'Лист2'!$G$2:$G$505,
         'Лист2'!$D$2:$D$505,
         "не найдено")</f>
        <v>17095</v>
      </c>
      <c r="H124" s="8">
        <f t="shared" si="1"/>
        <v>227664.8963</v>
      </c>
      <c r="I124" s="8">
        <f t="shared" si="2"/>
        <v>21</v>
      </c>
      <c r="K124" s="8" t="str">
        <f t="shared" si="3"/>
        <v>43971|Санкт-Петербург Юг</v>
      </c>
    </row>
    <row r="125" ht="14.25" customHeight="1">
      <c r="A125" s="10">
        <v>43956.0</v>
      </c>
      <c r="B125" s="11" t="s">
        <v>18</v>
      </c>
      <c r="C125" s="11">
        <v>262734.0</v>
      </c>
      <c r="D125" s="11">
        <v>2.7278441145E7</v>
      </c>
      <c r="E125" s="7">
        <f t="array" ref="E125">_xlfn.XLOOKUP($K125,
         'Лист2'!$G$2:$G$505,
         'Лист2'!$C$2:$C$505,
         "не найдено")</f>
        <v>129</v>
      </c>
      <c r="F125" s="7">
        <f t="array" ref="F125">_xlfn.XLOOKUP($K125,
         'Лист2'!$G$2:$G$505,
         'Лист2'!$D$2:$D$505,
         "не найдено")</f>
        <v>15665</v>
      </c>
      <c r="G125" s="7">
        <f t="array" ref="G125">_xlfn.XLOOKUP($K125,
         'Лист2'!$G$2:$G$505,
         'Лист2'!$D$2:$D$505,
         "не найдено")</f>
        <v>15665</v>
      </c>
      <c r="H125" s="8">
        <f t="shared" si="1"/>
        <v>211460.7841</v>
      </c>
      <c r="I125" s="8">
        <f t="shared" si="2"/>
        <v>19</v>
      </c>
      <c r="K125" s="8" t="str">
        <f t="shared" si="3"/>
        <v>43956|Санкт-Петербург Юг</v>
      </c>
    </row>
    <row r="126" ht="14.25" customHeight="1">
      <c r="A126" s="5">
        <v>43949.0</v>
      </c>
      <c r="B126" s="6" t="s">
        <v>18</v>
      </c>
      <c r="C126" s="6">
        <v>286002.0</v>
      </c>
      <c r="D126" s="6">
        <v>2.91590325E7</v>
      </c>
      <c r="E126" s="7">
        <f t="array" ref="E126">_xlfn.XLOOKUP($K126,
         'Лист2'!$G$2:$G$505,
         'Лист2'!$C$2:$C$505,
         "не найдено")</f>
        <v>128</v>
      </c>
      <c r="F126" s="7">
        <f t="array" ref="F126">_xlfn.XLOOKUP($K126,
         'Лист2'!$G$2:$G$505,
         'Лист2'!$D$2:$D$505,
         "не найдено")</f>
        <v>16450</v>
      </c>
      <c r="G126" s="7">
        <f t="array" ref="G126">_xlfn.XLOOKUP($K126,
         'Лист2'!$G$2:$G$505,
         'Лист2'!$D$2:$D$505,
         "не найдено")</f>
        <v>16450</v>
      </c>
      <c r="H126" s="8">
        <f t="shared" si="1"/>
        <v>227804.9414</v>
      </c>
      <c r="I126" s="8">
        <f t="shared" si="2"/>
        <v>18</v>
      </c>
      <c r="K126" s="8" t="str">
        <f t="shared" si="3"/>
        <v>43949|Санкт-Петербург Юг</v>
      </c>
    </row>
    <row r="127" ht="14.25" customHeight="1">
      <c r="A127" s="10">
        <v>43964.0</v>
      </c>
      <c r="B127" s="11" t="s">
        <v>18</v>
      </c>
      <c r="C127" s="11">
        <v>258459.0</v>
      </c>
      <c r="D127" s="11">
        <v>2.64674535E7</v>
      </c>
      <c r="E127" s="7">
        <f t="array" ref="E127">_xlfn.XLOOKUP($K127,
         'Лист2'!$G$2:$G$505,
         'Лист2'!$C$2:$C$505,
         "не найдено")</f>
        <v>129</v>
      </c>
      <c r="F127" s="7">
        <f t="array" ref="F127">_xlfn.XLOOKUP($K127,
         'Лист2'!$G$2:$G$505,
         'Лист2'!$D$2:$D$505,
         "не найдено")</f>
        <v>15304</v>
      </c>
      <c r="G127" s="7">
        <f t="array" ref="G127">_xlfn.XLOOKUP($K127,
         'Лист2'!$G$2:$G$505,
         'Лист2'!$D$2:$D$505,
         "не найдено")</f>
        <v>15304</v>
      </c>
      <c r="H127" s="8">
        <f t="shared" si="1"/>
        <v>205174.0581</v>
      </c>
      <c r="I127" s="8">
        <f t="shared" si="2"/>
        <v>20</v>
      </c>
      <c r="K127" s="8" t="str">
        <f t="shared" si="3"/>
        <v>43964|Санкт-Петербург Юг</v>
      </c>
    </row>
    <row r="128" ht="14.25" customHeight="1">
      <c r="A128" s="5">
        <v>43954.0</v>
      </c>
      <c r="B128" s="6" t="s">
        <v>18</v>
      </c>
      <c r="C128" s="6">
        <v>274083.0</v>
      </c>
      <c r="D128" s="6">
        <v>2.8427001E7</v>
      </c>
      <c r="E128" s="7">
        <f t="array" ref="E128">_xlfn.XLOOKUP($K128,
         'Лист2'!$G$2:$G$505,
         'Лист2'!$C$2:$C$505,
         "не найдено")</f>
        <v>129</v>
      </c>
      <c r="F128" s="7">
        <f t="array" ref="F128">_xlfn.XLOOKUP($K128,
         'Лист2'!$G$2:$G$505,
         'Лист2'!$D$2:$D$505,
         "не найдено")</f>
        <v>15778</v>
      </c>
      <c r="G128" s="7">
        <f t="array" ref="G128">_xlfn.XLOOKUP($K128,
         'Лист2'!$G$2:$G$505,
         'Лист2'!$D$2:$D$505,
         "не найдено")</f>
        <v>15778</v>
      </c>
      <c r="H128" s="8">
        <f t="shared" si="1"/>
        <v>220364.3488</v>
      </c>
      <c r="I128" s="8">
        <f t="shared" si="2"/>
        <v>18</v>
      </c>
      <c r="K128" s="8" t="str">
        <f t="shared" si="3"/>
        <v>43954|Санкт-Петербург Юг</v>
      </c>
    </row>
    <row r="129" ht="14.25" customHeight="1">
      <c r="A129" s="10">
        <v>43957.0</v>
      </c>
      <c r="B129" s="11" t="s">
        <v>18</v>
      </c>
      <c r="C129" s="11">
        <v>277512.0</v>
      </c>
      <c r="D129" s="11">
        <v>2.87708101056E7</v>
      </c>
      <c r="E129" s="7">
        <f t="array" ref="E129">_xlfn.XLOOKUP($K129,
         'Лист2'!$G$2:$G$505,
         'Лист2'!$C$2:$C$505,
         "не найдено")</f>
        <v>129</v>
      </c>
      <c r="F129" s="7">
        <f t="array" ref="F129">_xlfn.XLOOKUP($K129,
         'Лист2'!$G$2:$G$505,
         'Лист2'!$D$2:$D$505,
         "не найдено")</f>
        <v>16376</v>
      </c>
      <c r="G129" s="7">
        <f t="array" ref="G129">_xlfn.XLOOKUP($K129,
         'Лист2'!$G$2:$G$505,
         'Лист2'!$D$2:$D$505,
         "не найдено")</f>
        <v>16376</v>
      </c>
      <c r="H129" s="8">
        <f t="shared" si="1"/>
        <v>223029.5357</v>
      </c>
      <c r="I129" s="8">
        <f t="shared" si="2"/>
        <v>19</v>
      </c>
      <c r="K129" s="8" t="str">
        <f t="shared" si="3"/>
        <v>43957|Санкт-Петербург Юг</v>
      </c>
    </row>
    <row r="130" ht="14.25" customHeight="1">
      <c r="A130" s="5">
        <v>43974.0</v>
      </c>
      <c r="B130" s="6" t="s">
        <v>18</v>
      </c>
      <c r="C130" s="6">
        <v>356982.0</v>
      </c>
      <c r="D130" s="6">
        <v>3.510392671155E7</v>
      </c>
      <c r="E130" s="7">
        <f t="array" ref="E130">_xlfn.XLOOKUP($K130,
         'Лист2'!$G$2:$G$505,
         'Лист2'!$C$2:$C$505,
         "не найдено")</f>
        <v>129</v>
      </c>
      <c r="F130" s="7">
        <f t="array" ref="F130">_xlfn.XLOOKUP($K130,
         'Лист2'!$G$2:$G$505,
         'Лист2'!$D$2:$D$505,
         "не найдено")</f>
        <v>19856</v>
      </c>
      <c r="G130" s="7">
        <f t="array" ref="G130">_xlfn.XLOOKUP($K130,
         'Лист2'!$G$2:$G$505,
         'Лист2'!$D$2:$D$505,
         "не найдено")</f>
        <v>19856</v>
      </c>
      <c r="H130" s="8">
        <f t="shared" si="1"/>
        <v>272123.4629</v>
      </c>
      <c r="I130" s="8">
        <f t="shared" si="2"/>
        <v>21</v>
      </c>
      <c r="K130" s="8" t="str">
        <f t="shared" si="3"/>
        <v>43974|Санкт-Петербург Юг</v>
      </c>
    </row>
    <row r="131" ht="14.25" customHeight="1">
      <c r="A131" s="10">
        <v>43976.0</v>
      </c>
      <c r="B131" s="11" t="s">
        <v>18</v>
      </c>
      <c r="C131" s="11">
        <v>266983.5</v>
      </c>
      <c r="D131" s="11">
        <v>2.71659135E7</v>
      </c>
      <c r="E131" s="7">
        <f t="array" ref="E131">_xlfn.XLOOKUP($K131,
         'Лист2'!$G$2:$G$505,
         'Лист2'!$C$2:$C$505,
         "не найдено")</f>
        <v>129</v>
      </c>
      <c r="F131" s="7">
        <f t="array" ref="F131">_xlfn.XLOOKUP($K131,
         'Лист2'!$G$2:$G$505,
         'Лист2'!$D$2:$D$505,
         "не найдено")</f>
        <v>15822</v>
      </c>
      <c r="G131" s="7">
        <f t="array" ref="G131">_xlfn.XLOOKUP($K131,
         'Лист2'!$G$2:$G$505,
         'Лист2'!$D$2:$D$505,
         "не найдено")</f>
        <v>15822</v>
      </c>
      <c r="H131" s="8">
        <f t="shared" si="1"/>
        <v>210588.4767</v>
      </c>
      <c r="I131" s="8">
        <f t="shared" si="2"/>
        <v>22</v>
      </c>
      <c r="K131" s="8" t="str">
        <f t="shared" si="3"/>
        <v>43976|Санкт-Петербург Юг</v>
      </c>
    </row>
    <row r="132" ht="14.25" customHeight="1">
      <c r="A132" s="5">
        <v>43951.0</v>
      </c>
      <c r="B132" s="6" t="s">
        <v>18</v>
      </c>
      <c r="C132" s="6">
        <v>311131.5</v>
      </c>
      <c r="D132" s="6">
        <v>3.2418879E7</v>
      </c>
      <c r="E132" s="7">
        <f t="array" ref="E132">_xlfn.XLOOKUP($K132,
         'Лист2'!$G$2:$G$505,
         'Лист2'!$C$2:$C$505,
         "не найдено")</f>
        <v>129</v>
      </c>
      <c r="F132" s="7">
        <f t="array" ref="F132">_xlfn.XLOOKUP($K132,
         'Лист2'!$G$2:$G$505,
         'Лист2'!$D$2:$D$505,
         "не найдено")</f>
        <v>18042</v>
      </c>
      <c r="G132" s="7">
        <f t="array" ref="G132">_xlfn.XLOOKUP($K132,
         'Лист2'!$G$2:$G$505,
         'Лист2'!$D$2:$D$505,
         "не найдено")</f>
        <v>18042</v>
      </c>
      <c r="H132" s="8">
        <f t="shared" si="1"/>
        <v>251309.1395</v>
      </c>
      <c r="I132" s="8">
        <f t="shared" si="2"/>
        <v>18</v>
      </c>
      <c r="K132" s="8" t="str">
        <f t="shared" si="3"/>
        <v>43951|Санкт-Петербург Юг</v>
      </c>
    </row>
    <row r="133" ht="14.25" customHeight="1">
      <c r="A133" s="10">
        <v>43961.0</v>
      </c>
      <c r="B133" s="11" t="s">
        <v>18</v>
      </c>
      <c r="C133" s="11">
        <v>287206.5</v>
      </c>
      <c r="D133" s="11">
        <v>2.953617610605E7</v>
      </c>
      <c r="E133" s="7">
        <f t="array" ref="E133">_xlfn.XLOOKUP($K133,
         'Лист2'!$G$2:$G$505,
         'Лист2'!$C$2:$C$505,
         "не найдено")</f>
        <v>129</v>
      </c>
      <c r="F133" s="7">
        <f t="array" ref="F133">_xlfn.XLOOKUP($K133,
         'Лист2'!$G$2:$G$505,
         'Лист2'!$D$2:$D$505,
         "не найдено")</f>
        <v>16437</v>
      </c>
      <c r="G133" s="7">
        <f t="array" ref="G133">_xlfn.XLOOKUP($K133,
         'Лист2'!$G$2:$G$505,
         'Лист2'!$D$2:$D$505,
         "не найдено")</f>
        <v>16437</v>
      </c>
      <c r="H133" s="8">
        <f t="shared" si="1"/>
        <v>228962.6055</v>
      </c>
      <c r="I133" s="8">
        <f t="shared" si="2"/>
        <v>19</v>
      </c>
      <c r="K133" s="8" t="str">
        <f t="shared" si="3"/>
        <v>43961|Санкт-Петербург Юг</v>
      </c>
    </row>
    <row r="134" ht="14.25" customHeight="1">
      <c r="A134" s="5">
        <v>43959.0</v>
      </c>
      <c r="B134" s="6" t="s">
        <v>18</v>
      </c>
      <c r="C134" s="6">
        <v>370092.0</v>
      </c>
      <c r="D134" s="6">
        <v>3.80915565E7</v>
      </c>
      <c r="E134" s="7">
        <f t="array" ref="E134">_xlfn.XLOOKUP($K134,
         'Лист2'!$G$2:$G$505,
         'Лист2'!$C$2:$C$505,
         "не найдено")</f>
        <v>129</v>
      </c>
      <c r="F134" s="7">
        <f t="array" ref="F134">_xlfn.XLOOKUP($K134,
         'Лист2'!$G$2:$G$505,
         'Лист2'!$D$2:$D$505,
         "не найдено")</f>
        <v>20452</v>
      </c>
      <c r="G134" s="7">
        <f t="array" ref="G134">_xlfn.XLOOKUP($K134,
         'Лист2'!$G$2:$G$505,
         'Лист2'!$D$2:$D$505,
         "не найдено")</f>
        <v>20452</v>
      </c>
      <c r="H134" s="8">
        <f t="shared" si="1"/>
        <v>295283.3837</v>
      </c>
      <c r="I134" s="8">
        <f t="shared" si="2"/>
        <v>19</v>
      </c>
      <c r="K134" s="8" t="str">
        <f t="shared" si="3"/>
        <v>43959|Санкт-Петербург Юг</v>
      </c>
    </row>
    <row r="135" ht="14.25" customHeight="1">
      <c r="A135" s="10">
        <v>43958.0</v>
      </c>
      <c r="B135" s="11" t="s">
        <v>18</v>
      </c>
      <c r="C135" s="11">
        <v>247813.5</v>
      </c>
      <c r="D135" s="11">
        <v>2.5325271E7</v>
      </c>
      <c r="E135" s="7">
        <f t="array" ref="E135">_xlfn.XLOOKUP($K135,
         'Лист2'!$G$2:$G$505,
         'Лист2'!$C$2:$C$505,
         "не найдено")</f>
        <v>129</v>
      </c>
      <c r="F135" s="7">
        <f t="array" ref="F135">_xlfn.XLOOKUP($K135,
         'Лист2'!$G$2:$G$505,
         'Лист2'!$D$2:$D$505,
         "не найдено")</f>
        <v>14582</v>
      </c>
      <c r="G135" s="7">
        <f t="array" ref="G135">_xlfn.XLOOKUP($K135,
         'Лист2'!$G$2:$G$505,
         'Лист2'!$D$2:$D$505,
         "не найдено")</f>
        <v>14582</v>
      </c>
      <c r="H135" s="8">
        <f t="shared" si="1"/>
        <v>196319.9302</v>
      </c>
      <c r="I135" s="8">
        <f t="shared" si="2"/>
        <v>19</v>
      </c>
      <c r="K135" s="8" t="str">
        <f t="shared" si="3"/>
        <v>43958|Санкт-Петербург Юг</v>
      </c>
    </row>
    <row r="136" ht="14.25" customHeight="1">
      <c r="A136" s="5">
        <v>43975.0</v>
      </c>
      <c r="B136" s="6" t="s">
        <v>18</v>
      </c>
      <c r="C136" s="6">
        <v>287740.5</v>
      </c>
      <c r="D136" s="6">
        <v>2.8188534E7</v>
      </c>
      <c r="E136" s="7">
        <f t="array" ref="E136">_xlfn.XLOOKUP($K136,
         'Лист2'!$G$2:$G$505,
         'Лист2'!$C$2:$C$505,
         "не найдено")</f>
        <v>129</v>
      </c>
      <c r="F136" s="7">
        <f t="array" ref="F136">_xlfn.XLOOKUP($K136,
         'Лист2'!$G$2:$G$505,
         'Лист2'!$D$2:$D$505,
         "не найдено")</f>
        <v>16432</v>
      </c>
      <c r="G136" s="7">
        <f t="array" ref="G136">_xlfn.XLOOKUP($K136,
         'Лист2'!$G$2:$G$505,
         'Лист2'!$D$2:$D$505,
         "не найдено")</f>
        <v>16432</v>
      </c>
      <c r="H136" s="8">
        <f t="shared" si="1"/>
        <v>218515.7674</v>
      </c>
      <c r="I136" s="8">
        <f t="shared" si="2"/>
        <v>21</v>
      </c>
      <c r="K136" s="8" t="str">
        <f t="shared" si="3"/>
        <v>43975|Санкт-Петербург Юг</v>
      </c>
    </row>
    <row r="137" ht="14.25" customHeight="1">
      <c r="A137" s="10">
        <v>43967.0</v>
      </c>
      <c r="B137" s="11" t="s">
        <v>16</v>
      </c>
      <c r="C137" s="11">
        <v>408810.0</v>
      </c>
      <c r="D137" s="11">
        <v>4.2323631E7</v>
      </c>
      <c r="E137" s="7">
        <f t="array" ref="E137">_xlfn.XLOOKUP($K137,
         'Лист2'!$G$2:$G$505,
         'Лист2'!$C$2:$C$505,
         "не найдено")</f>
        <v>125</v>
      </c>
      <c r="F137" s="7">
        <f t="array" ref="F137">_xlfn.XLOOKUP($K137,
         'Лист2'!$G$2:$G$505,
         'Лист2'!$D$2:$D$505,
         "не найдено")</f>
        <v>22291</v>
      </c>
      <c r="G137" s="7">
        <f t="array" ref="G137">_xlfn.XLOOKUP($K137,
         'Лист2'!$G$2:$G$505,
         'Лист2'!$D$2:$D$505,
         "не найдено")</f>
        <v>22291</v>
      </c>
      <c r="H137" s="8">
        <f t="shared" si="1"/>
        <v>338589.048</v>
      </c>
      <c r="I137" s="8">
        <f t="shared" si="2"/>
        <v>20</v>
      </c>
      <c r="K137" s="8" t="str">
        <f t="shared" si="3"/>
        <v>43967|Санкт-Петербург Север</v>
      </c>
    </row>
    <row r="138" ht="14.25" customHeight="1">
      <c r="A138" s="5">
        <v>43970.0</v>
      </c>
      <c r="B138" s="6" t="s">
        <v>16</v>
      </c>
      <c r="C138" s="6">
        <v>362536.5</v>
      </c>
      <c r="D138" s="6">
        <v>3.7023243E7</v>
      </c>
      <c r="E138" s="7">
        <f t="array" ref="E138">_xlfn.XLOOKUP($K138,
         'Лист2'!$G$2:$G$505,
         'Лист2'!$C$2:$C$505,
         "не найдено")</f>
        <v>125</v>
      </c>
      <c r="F138" s="7">
        <f t="array" ref="F138">_xlfn.XLOOKUP($K138,
         'Лист2'!$G$2:$G$505,
         'Лист2'!$D$2:$D$505,
         "не найдено")</f>
        <v>20771</v>
      </c>
      <c r="G138" s="7">
        <f t="array" ref="G138">_xlfn.XLOOKUP($K138,
         'Лист2'!$G$2:$G$505,
         'Лист2'!$D$2:$D$505,
         "не найдено")</f>
        <v>20771</v>
      </c>
      <c r="H138" s="8">
        <f t="shared" si="1"/>
        <v>296185.944</v>
      </c>
      <c r="I138" s="8">
        <f t="shared" si="2"/>
        <v>21</v>
      </c>
      <c r="K138" s="8" t="str">
        <f t="shared" si="3"/>
        <v>43970|Санкт-Петербург Север</v>
      </c>
    </row>
    <row r="139" ht="14.25" customHeight="1">
      <c r="A139" s="10">
        <v>43968.0</v>
      </c>
      <c r="B139" s="11" t="s">
        <v>16</v>
      </c>
      <c r="C139" s="11">
        <v>357072.0</v>
      </c>
      <c r="D139" s="11">
        <v>3.6834567E7</v>
      </c>
      <c r="E139" s="7">
        <f t="array" ref="E139">_xlfn.XLOOKUP($K139,
         'Лист2'!$G$2:$G$505,
         'Лист2'!$C$2:$C$505,
         "не найдено")</f>
        <v>125</v>
      </c>
      <c r="F139" s="7">
        <f t="array" ref="F139">_xlfn.XLOOKUP($K139,
         'Лист2'!$G$2:$G$505,
         'Лист2'!$D$2:$D$505,
         "не найдено")</f>
        <v>20079</v>
      </c>
      <c r="G139" s="7">
        <f t="array" ref="G139">_xlfn.XLOOKUP($K139,
         'Лист2'!$G$2:$G$505,
         'Лист2'!$D$2:$D$505,
         "не найдено")</f>
        <v>20079</v>
      </c>
      <c r="H139" s="8">
        <f t="shared" si="1"/>
        <v>294676.536</v>
      </c>
      <c r="I139" s="8">
        <f t="shared" si="2"/>
        <v>20</v>
      </c>
      <c r="K139" s="8" t="str">
        <f t="shared" si="3"/>
        <v>43968|Санкт-Петербург Север</v>
      </c>
    </row>
    <row r="140" ht="14.25" customHeight="1">
      <c r="A140" s="5">
        <v>43960.0</v>
      </c>
      <c r="B140" s="6" t="s">
        <v>16</v>
      </c>
      <c r="C140" s="6">
        <v>359214.0</v>
      </c>
      <c r="D140" s="6">
        <v>3.8693427E7</v>
      </c>
      <c r="E140" s="7">
        <f t="array" ref="E140">_xlfn.XLOOKUP($K140,
         'Лист2'!$G$2:$G$505,
         'Лист2'!$C$2:$C$505,
         "не найдено")</f>
        <v>125</v>
      </c>
      <c r="F140" s="7">
        <f t="array" ref="F140">_xlfn.XLOOKUP($K140,
         'Лист2'!$G$2:$G$505,
         'Лист2'!$D$2:$D$505,
         "не найдено")</f>
        <v>20132</v>
      </c>
      <c r="G140" s="7">
        <f t="array" ref="G140">_xlfn.XLOOKUP($K140,
         'Лист2'!$G$2:$G$505,
         'Лист2'!$D$2:$D$505,
         "не найдено")</f>
        <v>20132</v>
      </c>
      <c r="H140" s="8">
        <f t="shared" si="1"/>
        <v>309547.416</v>
      </c>
      <c r="I140" s="8">
        <f t="shared" si="2"/>
        <v>19</v>
      </c>
      <c r="K140" s="8" t="str">
        <f t="shared" si="3"/>
        <v>43960|Санкт-Петербург Север</v>
      </c>
    </row>
    <row r="141" ht="14.25" customHeight="1">
      <c r="A141" s="10">
        <v>43955.0</v>
      </c>
      <c r="B141" s="11" t="s">
        <v>16</v>
      </c>
      <c r="C141" s="11">
        <v>360255.0</v>
      </c>
      <c r="D141" s="11">
        <v>3.8406954E7</v>
      </c>
      <c r="E141" s="7">
        <f t="array" ref="E141">_xlfn.XLOOKUP($K141,
         'Лист2'!$G$2:$G$505,
         'Лист2'!$C$2:$C$505,
         "не найдено")</f>
        <v>125</v>
      </c>
      <c r="F141" s="7">
        <f t="array" ref="F141">_xlfn.XLOOKUP($K141,
         'Лист2'!$G$2:$G$505,
         'Лист2'!$D$2:$D$505,
         "не найдено")</f>
        <v>20495</v>
      </c>
      <c r="G141" s="7">
        <f t="array" ref="G141">_xlfn.XLOOKUP($K141,
         'Лист2'!$G$2:$G$505,
         'Лист2'!$D$2:$D$505,
         "не найдено")</f>
        <v>20495</v>
      </c>
      <c r="H141" s="8">
        <f t="shared" si="1"/>
        <v>307255.632</v>
      </c>
      <c r="I141" s="8">
        <f t="shared" si="2"/>
        <v>19</v>
      </c>
      <c r="K141" s="8" t="str">
        <f t="shared" si="3"/>
        <v>43955|Санкт-Петербург Север</v>
      </c>
    </row>
    <row r="142" ht="14.25" customHeight="1">
      <c r="A142" s="5">
        <v>43950.0</v>
      </c>
      <c r="B142" s="6" t="s">
        <v>16</v>
      </c>
      <c r="C142" s="6">
        <v>387220.5</v>
      </c>
      <c r="D142" s="6">
        <v>4.1559384E7</v>
      </c>
      <c r="E142" s="7">
        <f t="array" ref="E142">_xlfn.XLOOKUP($K142,
         'Лист2'!$G$2:$G$505,
         'Лист2'!$C$2:$C$505,
         "не найдено")</f>
        <v>125</v>
      </c>
      <c r="F142" s="7">
        <f t="array" ref="F142">_xlfn.XLOOKUP($K142,
         'Лист2'!$G$2:$G$505,
         'Лист2'!$D$2:$D$505,
         "не найдено")</f>
        <v>21863</v>
      </c>
      <c r="G142" s="7">
        <f t="array" ref="G142">_xlfn.XLOOKUP($K142,
         'Лист2'!$G$2:$G$505,
         'Лист2'!$D$2:$D$505,
         "не найдено")</f>
        <v>21863</v>
      </c>
      <c r="H142" s="8">
        <f t="shared" si="1"/>
        <v>332475.072</v>
      </c>
      <c r="I142" s="8">
        <f t="shared" si="2"/>
        <v>18</v>
      </c>
      <c r="K142" s="8" t="str">
        <f t="shared" si="3"/>
        <v>43950|Санкт-Петербург Север</v>
      </c>
    </row>
    <row r="143" ht="14.25" customHeight="1">
      <c r="A143" s="10">
        <v>43953.0</v>
      </c>
      <c r="B143" s="11" t="s">
        <v>16</v>
      </c>
      <c r="C143" s="11">
        <v>296580.0</v>
      </c>
      <c r="D143" s="11">
        <v>3.1843737E7</v>
      </c>
      <c r="E143" s="7">
        <f t="array" ref="E143">_xlfn.XLOOKUP($K143,
         'Лист2'!$G$2:$G$505,
         'Лист2'!$C$2:$C$505,
         "не найдено")</f>
        <v>125</v>
      </c>
      <c r="F143" s="7">
        <f t="array" ref="F143">_xlfn.XLOOKUP($K143,
         'Лист2'!$G$2:$G$505,
         'Лист2'!$D$2:$D$505,
         "не найдено")</f>
        <v>16932</v>
      </c>
      <c r="G143" s="7">
        <f t="array" ref="G143">_xlfn.XLOOKUP($K143,
         'Лист2'!$G$2:$G$505,
         'Лист2'!$D$2:$D$505,
         "не найдено")</f>
        <v>16932</v>
      </c>
      <c r="H143" s="8">
        <f t="shared" si="1"/>
        <v>254749.896</v>
      </c>
      <c r="I143" s="8">
        <f t="shared" si="2"/>
        <v>18</v>
      </c>
      <c r="K143" s="8" t="str">
        <f t="shared" si="3"/>
        <v>43953|Санкт-Петербург Север</v>
      </c>
    </row>
    <row r="144" ht="14.25" customHeight="1">
      <c r="A144" s="5">
        <v>43977.0</v>
      </c>
      <c r="B144" s="6" t="s">
        <v>16</v>
      </c>
      <c r="C144" s="6">
        <v>369861.0</v>
      </c>
      <c r="D144" s="6">
        <v>3.83659605E7</v>
      </c>
      <c r="E144" s="7">
        <f t="array" ref="E144">_xlfn.XLOOKUP($K144,
         'Лист2'!$G$2:$G$505,
         'Лист2'!$C$2:$C$505,
         "не найдено")</f>
        <v>124</v>
      </c>
      <c r="F144" s="7">
        <f t="array" ref="F144">_xlfn.XLOOKUP($K144,
         'Лист2'!$G$2:$G$505,
         'Лист2'!$D$2:$D$505,
         "не найдено")</f>
        <v>21153</v>
      </c>
      <c r="G144" s="7">
        <f t="array" ref="G144">_xlfn.XLOOKUP($K144,
         'Лист2'!$G$2:$G$505,
         'Лист2'!$D$2:$D$505,
         "не найдено")</f>
        <v>21153</v>
      </c>
      <c r="H144" s="8">
        <f t="shared" si="1"/>
        <v>309402.9073</v>
      </c>
      <c r="I144" s="8">
        <f t="shared" si="2"/>
        <v>22</v>
      </c>
      <c r="K144" s="8" t="str">
        <f t="shared" si="3"/>
        <v>43977|Санкт-Петербург Север</v>
      </c>
    </row>
    <row r="145" ht="14.25" customHeight="1">
      <c r="A145" s="10">
        <v>43952.0</v>
      </c>
      <c r="B145" s="11" t="s">
        <v>16</v>
      </c>
      <c r="C145" s="11">
        <v>372504.0</v>
      </c>
      <c r="D145" s="11">
        <v>4.00771935E7</v>
      </c>
      <c r="E145" s="7">
        <f t="array" ref="E145">_xlfn.XLOOKUP($K145,
         'Лист2'!$G$2:$G$505,
         'Лист2'!$C$2:$C$505,
         "не найдено")</f>
        <v>125</v>
      </c>
      <c r="F145" s="7">
        <f t="array" ref="F145">_xlfn.XLOOKUP($K145,
         'Лист2'!$G$2:$G$505,
         'Лист2'!$D$2:$D$505,
         "не найдено")</f>
        <v>20602</v>
      </c>
      <c r="G145" s="7">
        <f t="array" ref="G145">_xlfn.XLOOKUP($K145,
         'Лист2'!$G$2:$G$505,
         'Лист2'!$D$2:$D$505,
         "не найдено")</f>
        <v>20602</v>
      </c>
      <c r="H145" s="8">
        <f t="shared" si="1"/>
        <v>320617.548</v>
      </c>
      <c r="I145" s="8">
        <f t="shared" si="2"/>
        <v>18</v>
      </c>
      <c r="K145" s="8" t="str">
        <f t="shared" si="3"/>
        <v>43952|Санкт-Петербург Север</v>
      </c>
    </row>
    <row r="146" ht="14.25" customHeight="1">
      <c r="A146" s="5">
        <v>43963.0</v>
      </c>
      <c r="B146" s="6" t="s">
        <v>16</v>
      </c>
      <c r="C146" s="6">
        <v>373392.0</v>
      </c>
      <c r="D146" s="6">
        <v>3.9578577E7</v>
      </c>
      <c r="E146" s="7">
        <f t="array" ref="E146">_xlfn.XLOOKUP($K146,
         'Лист2'!$G$2:$G$505,
         'Лист2'!$C$2:$C$505,
         "не найдено")</f>
        <v>125</v>
      </c>
      <c r="F146" s="7">
        <f t="array" ref="F146">_xlfn.XLOOKUP($K146,
         'Лист2'!$G$2:$G$505,
         'Лист2'!$D$2:$D$505,
         "не найдено")</f>
        <v>21106</v>
      </c>
      <c r="G146" s="7">
        <f t="array" ref="G146">_xlfn.XLOOKUP($K146,
         'Лист2'!$G$2:$G$505,
         'Лист2'!$D$2:$D$505,
         "не найдено")</f>
        <v>21106</v>
      </c>
      <c r="H146" s="8">
        <f t="shared" si="1"/>
        <v>316628.616</v>
      </c>
      <c r="I146" s="8">
        <f t="shared" si="2"/>
        <v>20</v>
      </c>
      <c r="K146" s="8" t="str">
        <f t="shared" si="3"/>
        <v>43963|Санкт-Петербург Север</v>
      </c>
    </row>
    <row r="147" ht="14.25" customHeight="1">
      <c r="A147" s="10">
        <v>43972.0</v>
      </c>
      <c r="B147" s="11" t="s">
        <v>16</v>
      </c>
      <c r="C147" s="11">
        <v>378043.5</v>
      </c>
      <c r="D147" s="11">
        <v>3.790215657E7</v>
      </c>
      <c r="E147" s="7">
        <f t="array" ref="E147">_xlfn.XLOOKUP($K147,
         'Лист2'!$G$2:$G$505,
         'Лист2'!$C$2:$C$505,
         "не найдено")</f>
        <v>125</v>
      </c>
      <c r="F147" s="7">
        <f t="array" ref="F147">_xlfn.XLOOKUP($K147,
         'Лист2'!$G$2:$G$505,
         'Лист2'!$D$2:$D$505,
         "не найдено")</f>
        <v>20911</v>
      </c>
      <c r="G147" s="7">
        <f t="array" ref="G147">_xlfn.XLOOKUP($K147,
         'Лист2'!$G$2:$G$505,
         'Лист2'!$D$2:$D$505,
         "не найдено")</f>
        <v>20911</v>
      </c>
      <c r="H147" s="8">
        <f t="shared" si="1"/>
        <v>303217.2526</v>
      </c>
      <c r="I147" s="8">
        <f t="shared" si="2"/>
        <v>21</v>
      </c>
      <c r="K147" s="8" t="str">
        <f t="shared" si="3"/>
        <v>43972|Санкт-Петербург Север</v>
      </c>
    </row>
    <row r="148" ht="14.25" customHeight="1">
      <c r="A148" s="5">
        <v>43971.0</v>
      </c>
      <c r="B148" s="6" t="s">
        <v>16</v>
      </c>
      <c r="C148" s="6">
        <v>388668.0</v>
      </c>
      <c r="D148" s="6">
        <v>3.9639309E7</v>
      </c>
      <c r="E148" s="7">
        <f t="array" ref="E148">_xlfn.XLOOKUP($K148,
         'Лист2'!$G$2:$G$505,
         'Лист2'!$C$2:$C$505,
         "не найдено")</f>
        <v>125</v>
      </c>
      <c r="F148" s="7">
        <f t="array" ref="F148">_xlfn.XLOOKUP($K148,
         'Лист2'!$G$2:$G$505,
         'Лист2'!$D$2:$D$505,
         "не найдено")</f>
        <v>21674</v>
      </c>
      <c r="G148" s="7">
        <f t="array" ref="G148">_xlfn.XLOOKUP($K148,
         'Лист2'!$G$2:$G$505,
         'Лист2'!$D$2:$D$505,
         "не найдено")</f>
        <v>21674</v>
      </c>
      <c r="H148" s="8">
        <f t="shared" si="1"/>
        <v>317114.472</v>
      </c>
      <c r="I148" s="8">
        <f t="shared" si="2"/>
        <v>21</v>
      </c>
      <c r="K148" s="8" t="str">
        <f t="shared" si="3"/>
        <v>43971|Санкт-Петербург Север</v>
      </c>
    </row>
    <row r="149" ht="14.25" customHeight="1">
      <c r="A149" s="10">
        <v>43956.0</v>
      </c>
      <c r="B149" s="11" t="s">
        <v>16</v>
      </c>
      <c r="C149" s="11">
        <v>333792.0</v>
      </c>
      <c r="D149" s="11">
        <v>3.5671734E7</v>
      </c>
      <c r="E149" s="7">
        <f t="array" ref="E149">_xlfn.XLOOKUP($K149,
         'Лист2'!$G$2:$G$505,
         'Лист2'!$C$2:$C$505,
         "не найдено")</f>
        <v>125</v>
      </c>
      <c r="F149" s="7">
        <f t="array" ref="F149">_xlfn.XLOOKUP($K149,
         'Лист2'!$G$2:$G$505,
         'Лист2'!$D$2:$D$505,
         "не найдено")</f>
        <v>18944</v>
      </c>
      <c r="G149" s="7">
        <f t="array" ref="G149">_xlfn.XLOOKUP($K149,
         'Лист2'!$G$2:$G$505,
         'Лист2'!$D$2:$D$505,
         "не найдено")</f>
        <v>18944</v>
      </c>
      <c r="H149" s="8">
        <f t="shared" si="1"/>
        <v>285373.872</v>
      </c>
      <c r="I149" s="8">
        <f t="shared" si="2"/>
        <v>19</v>
      </c>
      <c r="K149" s="8" t="str">
        <f t="shared" si="3"/>
        <v>43956|Санкт-Петербург Север</v>
      </c>
    </row>
    <row r="150" ht="14.25" customHeight="1">
      <c r="A150" s="5">
        <v>43949.0</v>
      </c>
      <c r="B150" s="6" t="s">
        <v>16</v>
      </c>
      <c r="C150" s="6">
        <v>376060.5</v>
      </c>
      <c r="D150" s="6">
        <v>3.99180285E7</v>
      </c>
      <c r="E150" s="7">
        <f t="array" ref="E150">_xlfn.XLOOKUP($K150,
         'Лист2'!$G$2:$G$505,
         'Лист2'!$C$2:$C$505,
         "не найдено")</f>
        <v>125</v>
      </c>
      <c r="F150" s="7">
        <f t="array" ref="F150">_xlfn.XLOOKUP($K150,
         'Лист2'!$G$2:$G$505,
         'Лист2'!$D$2:$D$505,
         "не найдено")</f>
        <v>20914</v>
      </c>
      <c r="G150" s="7">
        <f t="array" ref="G150">_xlfn.XLOOKUP($K150,
         'Лист2'!$G$2:$G$505,
         'Лист2'!$D$2:$D$505,
         "не найдено")</f>
        <v>20914</v>
      </c>
      <c r="H150" s="8">
        <f t="shared" si="1"/>
        <v>319344.228</v>
      </c>
      <c r="I150" s="8">
        <f t="shared" si="2"/>
        <v>18</v>
      </c>
      <c r="K150" s="8" t="str">
        <f t="shared" si="3"/>
        <v>43949|Санкт-Петербург Север</v>
      </c>
    </row>
    <row r="151" ht="14.25" customHeight="1">
      <c r="A151" s="10">
        <v>43964.0</v>
      </c>
      <c r="B151" s="11" t="s">
        <v>16</v>
      </c>
      <c r="C151" s="11">
        <v>350068.5</v>
      </c>
      <c r="D151" s="11">
        <v>3.71971155E7</v>
      </c>
      <c r="E151" s="7">
        <f t="array" ref="E151">_xlfn.XLOOKUP($K151,
         'Лист2'!$G$2:$G$505,
         'Лист2'!$C$2:$C$505,
         "не найдено")</f>
        <v>125</v>
      </c>
      <c r="F151" s="7">
        <f t="array" ref="F151">_xlfn.XLOOKUP($K151,
         'Лист2'!$G$2:$G$505,
         'Лист2'!$D$2:$D$505,
         "не найдено")</f>
        <v>19965</v>
      </c>
      <c r="G151" s="7">
        <f t="array" ref="G151">_xlfn.XLOOKUP($K151,
         'Лист2'!$G$2:$G$505,
         'Лист2'!$D$2:$D$505,
         "не найдено")</f>
        <v>19965</v>
      </c>
      <c r="H151" s="8">
        <f t="shared" si="1"/>
        <v>297576.924</v>
      </c>
      <c r="I151" s="8">
        <f t="shared" si="2"/>
        <v>20</v>
      </c>
      <c r="K151" s="8" t="str">
        <f t="shared" si="3"/>
        <v>43964|Санкт-Петербург Север</v>
      </c>
    </row>
    <row r="152" ht="14.25" customHeight="1">
      <c r="A152" s="5">
        <v>43982.0</v>
      </c>
      <c r="B152" s="6" t="s">
        <v>18</v>
      </c>
      <c r="C152" s="6">
        <v>294337.5</v>
      </c>
      <c r="D152" s="6">
        <v>2.9327766E7</v>
      </c>
      <c r="E152" s="7">
        <f t="array" ref="E152">_xlfn.XLOOKUP($K152,
         'Лист2'!$G$2:$G$505,
         'Лист2'!$C$2:$C$505,
         "не найдено")</f>
        <v>129</v>
      </c>
      <c r="F152" s="7">
        <f t="array" ref="F152">_xlfn.XLOOKUP($K152,
         'Лист2'!$G$2:$G$505,
         'Лист2'!$D$2:$D$505,
         "не найдено")</f>
        <v>17235</v>
      </c>
      <c r="G152" s="7">
        <f t="array" ref="G152">_xlfn.XLOOKUP($K152,
         'Лист2'!$G$2:$G$505,
         'Лист2'!$D$2:$D$505,
         "не найдено")</f>
        <v>17235</v>
      </c>
      <c r="H152" s="8">
        <f t="shared" si="1"/>
        <v>227347.0233</v>
      </c>
      <c r="I152" s="8">
        <f t="shared" si="2"/>
        <v>22</v>
      </c>
      <c r="K152" s="8" t="str">
        <f t="shared" si="3"/>
        <v>43982|Санкт-Петербург Юг</v>
      </c>
    </row>
    <row r="153" ht="14.25" customHeight="1">
      <c r="A153" s="10">
        <v>43954.0</v>
      </c>
      <c r="B153" s="11" t="s">
        <v>16</v>
      </c>
      <c r="C153" s="11">
        <v>342666.0</v>
      </c>
      <c r="D153" s="11">
        <v>3.66319995E7</v>
      </c>
      <c r="E153" s="7">
        <f t="array" ref="E153">_xlfn.XLOOKUP($K153,
         'Лист2'!$G$2:$G$505,
         'Лист2'!$C$2:$C$505,
         "не найдено")</f>
        <v>125</v>
      </c>
      <c r="F153" s="7">
        <f t="array" ref="F153">_xlfn.XLOOKUP($K153,
         'Лист2'!$G$2:$G$505,
         'Лист2'!$D$2:$D$505,
         "не найдено")</f>
        <v>18861</v>
      </c>
      <c r="G153" s="7">
        <f t="array" ref="G153">_xlfn.XLOOKUP($K153,
         'Лист2'!$G$2:$G$505,
         'Лист2'!$D$2:$D$505,
         "не найдено")</f>
        <v>18861</v>
      </c>
      <c r="H153" s="8">
        <f t="shared" si="1"/>
        <v>293055.996</v>
      </c>
      <c r="I153" s="8">
        <f t="shared" si="2"/>
        <v>18</v>
      </c>
      <c r="K153" s="8" t="str">
        <f t="shared" si="3"/>
        <v>43954|Санкт-Петербург Север</v>
      </c>
    </row>
    <row r="154" ht="14.25" customHeight="1">
      <c r="A154" s="5">
        <v>43981.0</v>
      </c>
      <c r="B154" s="6" t="s">
        <v>18</v>
      </c>
      <c r="C154" s="6">
        <v>364882.5</v>
      </c>
      <c r="D154" s="6">
        <v>3.57244935E7</v>
      </c>
      <c r="E154" s="7">
        <f t="array" ref="E154">_xlfn.XLOOKUP($K154,
         'Лист2'!$G$2:$G$505,
         'Лист2'!$C$2:$C$505,
         "не найдено")</f>
        <v>129</v>
      </c>
      <c r="F154" s="7">
        <f t="array" ref="F154">_xlfn.XLOOKUP($K154,
         'Лист2'!$G$2:$G$505,
         'Лист2'!$D$2:$D$505,
         "не найдено")</f>
        <v>20243</v>
      </c>
      <c r="G154" s="7">
        <f t="array" ref="G154">_xlfn.XLOOKUP($K154,
         'Лист2'!$G$2:$G$505,
         'Лист2'!$D$2:$D$505,
         "не найдено")</f>
        <v>20243</v>
      </c>
      <c r="H154" s="8">
        <f t="shared" si="1"/>
        <v>276934.0581</v>
      </c>
      <c r="I154" s="8">
        <f t="shared" si="2"/>
        <v>22</v>
      </c>
      <c r="K154" s="8" t="str">
        <f t="shared" si="3"/>
        <v>43981|Санкт-Петербург Юг</v>
      </c>
    </row>
    <row r="155" ht="14.25" customHeight="1">
      <c r="A155" s="10">
        <v>43957.0</v>
      </c>
      <c r="B155" s="11" t="s">
        <v>16</v>
      </c>
      <c r="C155" s="11">
        <v>355278.0</v>
      </c>
      <c r="D155" s="11">
        <v>3.8092344E7</v>
      </c>
      <c r="E155" s="7">
        <f t="array" ref="E155">_xlfn.XLOOKUP($K155,
         'Лист2'!$G$2:$G$505,
         'Лист2'!$C$2:$C$505,
         "не найдено")</f>
        <v>125</v>
      </c>
      <c r="F155" s="7">
        <f t="array" ref="F155">_xlfn.XLOOKUP($K155,
         'Лист2'!$G$2:$G$505,
         'Лист2'!$D$2:$D$505,
         "не найдено")</f>
        <v>20218</v>
      </c>
      <c r="G155" s="7">
        <f t="array" ref="G155">_xlfn.XLOOKUP($K155,
         'Лист2'!$G$2:$G$505,
         'Лист2'!$D$2:$D$505,
         "не найдено")</f>
        <v>20218</v>
      </c>
      <c r="H155" s="8">
        <f t="shared" si="1"/>
        <v>304738.752</v>
      </c>
      <c r="I155" s="8">
        <f t="shared" si="2"/>
        <v>19</v>
      </c>
      <c r="K155" s="8" t="str">
        <f t="shared" si="3"/>
        <v>43957|Санкт-Петербург Север</v>
      </c>
    </row>
    <row r="156" ht="14.25" customHeight="1">
      <c r="A156" s="5">
        <v>43974.0</v>
      </c>
      <c r="B156" s="6" t="s">
        <v>16</v>
      </c>
      <c r="C156" s="6">
        <v>456885.0</v>
      </c>
      <c r="D156" s="6">
        <v>4.640808E7</v>
      </c>
      <c r="E156" s="7">
        <f t="array" ref="E156">_xlfn.XLOOKUP($K156,
         'Лист2'!$G$2:$G$505,
         'Лист2'!$C$2:$C$505,
         "не найдено")</f>
        <v>125</v>
      </c>
      <c r="F156" s="7">
        <f t="array" ref="F156">_xlfn.XLOOKUP($K156,
         'Лист2'!$G$2:$G$505,
         'Лист2'!$D$2:$D$505,
         "не найдено")</f>
        <v>24574</v>
      </c>
      <c r="G156" s="7">
        <f t="array" ref="G156">_xlfn.XLOOKUP($K156,
         'Лист2'!$G$2:$G$505,
         'Лист2'!$D$2:$D$505,
         "не найдено")</f>
        <v>24574</v>
      </c>
      <c r="H156" s="8">
        <f t="shared" si="1"/>
        <v>371264.64</v>
      </c>
      <c r="I156" s="8">
        <f t="shared" si="2"/>
        <v>21</v>
      </c>
      <c r="K156" s="8" t="str">
        <f t="shared" si="3"/>
        <v>43974|Санкт-Петербург Север</v>
      </c>
    </row>
    <row r="157" ht="14.25" customHeight="1">
      <c r="A157" s="10">
        <v>43979.0</v>
      </c>
      <c r="B157" s="11" t="s">
        <v>18</v>
      </c>
      <c r="C157" s="11">
        <v>278491.5</v>
      </c>
      <c r="D157" s="11">
        <v>2.815100475E7</v>
      </c>
      <c r="E157" s="7">
        <f t="array" ref="E157">_xlfn.XLOOKUP($K157,
         'Лист2'!$G$2:$G$505,
         'Лист2'!$C$2:$C$505,
         "не найдено")</f>
        <v>129</v>
      </c>
      <c r="F157" s="7">
        <f t="array" ref="F157">_xlfn.XLOOKUP($K157,
         'Лист2'!$G$2:$G$505,
         'Лист2'!$D$2:$D$505,
         "не найдено")</f>
        <v>16453</v>
      </c>
      <c r="G157" s="7">
        <f t="array" ref="G157">_xlfn.XLOOKUP($K157,
         'Лист2'!$G$2:$G$505,
         'Лист2'!$D$2:$D$505,
         "не найдено")</f>
        <v>16453</v>
      </c>
      <c r="H157" s="8">
        <f t="shared" si="1"/>
        <v>218224.843</v>
      </c>
      <c r="I157" s="8">
        <f t="shared" si="2"/>
        <v>22</v>
      </c>
      <c r="K157" s="8" t="str">
        <f t="shared" si="3"/>
        <v>43979|Санкт-Петербург Юг</v>
      </c>
    </row>
    <row r="158" ht="14.25" customHeight="1">
      <c r="A158" s="5">
        <v>43976.0</v>
      </c>
      <c r="B158" s="6" t="s">
        <v>16</v>
      </c>
      <c r="C158" s="6">
        <v>349734.0</v>
      </c>
      <c r="D158" s="6">
        <v>3.6883428E7</v>
      </c>
      <c r="E158" s="7">
        <f t="array" ref="E158">_xlfn.XLOOKUP($K158,
         'Лист2'!$G$2:$G$505,
         'Лист2'!$C$2:$C$505,
         "не найдено")</f>
        <v>124</v>
      </c>
      <c r="F158" s="7">
        <f t="array" ref="F158">_xlfn.XLOOKUP($K158,
         'Лист2'!$G$2:$G$505,
         'Лист2'!$D$2:$D$505,
         "не найдено")</f>
        <v>20358</v>
      </c>
      <c r="G158" s="7">
        <f t="array" ref="G158">_xlfn.XLOOKUP($K158,
         'Лист2'!$G$2:$G$505,
         'Лист2'!$D$2:$D$505,
         "не найдено")</f>
        <v>20358</v>
      </c>
      <c r="H158" s="8">
        <f t="shared" si="1"/>
        <v>297447</v>
      </c>
      <c r="I158" s="8">
        <f t="shared" si="2"/>
        <v>22</v>
      </c>
      <c r="K158" s="8" t="str">
        <f t="shared" si="3"/>
        <v>43976|Санкт-Петербург Север</v>
      </c>
    </row>
    <row r="159" ht="14.25" customHeight="1">
      <c r="A159" s="10">
        <v>43951.0</v>
      </c>
      <c r="B159" s="11" t="s">
        <v>16</v>
      </c>
      <c r="C159" s="11">
        <v>401580.0</v>
      </c>
      <c r="D159" s="11">
        <v>4.30287345E7</v>
      </c>
      <c r="E159" s="7">
        <f t="array" ref="E159">_xlfn.XLOOKUP($K159,
         'Лист2'!$G$2:$G$505,
         'Лист2'!$C$2:$C$505,
         "не найдено")</f>
        <v>125</v>
      </c>
      <c r="F159" s="7">
        <f t="array" ref="F159">_xlfn.XLOOKUP($K159,
         'Лист2'!$G$2:$G$505,
         'Лист2'!$D$2:$D$505,
         "не найдено")</f>
        <v>22368</v>
      </c>
      <c r="G159" s="7">
        <f t="array" ref="G159">_xlfn.XLOOKUP($K159,
         'Лист2'!$G$2:$G$505,
         'Лист2'!$D$2:$D$505,
         "не найдено")</f>
        <v>22368</v>
      </c>
      <c r="H159" s="8">
        <f t="shared" si="1"/>
        <v>344229.876</v>
      </c>
      <c r="I159" s="8">
        <f t="shared" si="2"/>
        <v>18</v>
      </c>
      <c r="K159" s="8" t="str">
        <f t="shared" si="3"/>
        <v>43951|Санкт-Петербург Север</v>
      </c>
    </row>
    <row r="160" ht="14.25" customHeight="1">
      <c r="A160" s="5">
        <v>43961.0</v>
      </c>
      <c r="B160" s="6" t="s">
        <v>16</v>
      </c>
      <c r="C160" s="6">
        <v>368649.0</v>
      </c>
      <c r="D160" s="6">
        <v>3.9010875E7</v>
      </c>
      <c r="E160" s="7">
        <f t="array" ref="E160">_xlfn.XLOOKUP($K160,
         'Лист2'!$G$2:$G$505,
         'Лист2'!$C$2:$C$505,
         "не найдено")</f>
        <v>125</v>
      </c>
      <c r="F160" s="7">
        <f t="array" ref="F160">_xlfn.XLOOKUP($K160,
         'Лист2'!$G$2:$G$505,
         'Лист2'!$D$2:$D$505,
         "не найдено")</f>
        <v>20368</v>
      </c>
      <c r="G160" s="7">
        <f t="array" ref="G160">_xlfn.XLOOKUP($K160,
         'Лист2'!$G$2:$G$505,
         'Лист2'!$D$2:$D$505,
         "не найдено")</f>
        <v>20368</v>
      </c>
      <c r="H160" s="8">
        <f t="shared" si="1"/>
        <v>312087</v>
      </c>
      <c r="I160" s="8">
        <f t="shared" si="2"/>
        <v>19</v>
      </c>
      <c r="K160" s="8" t="str">
        <f t="shared" si="3"/>
        <v>43961|Санкт-Петербург Север</v>
      </c>
    </row>
    <row r="161" ht="14.25" customHeight="1">
      <c r="A161" s="10">
        <v>43959.0</v>
      </c>
      <c r="B161" s="11" t="s">
        <v>16</v>
      </c>
      <c r="C161" s="11">
        <v>463530.0</v>
      </c>
      <c r="D161" s="11">
        <v>4.91231805E7</v>
      </c>
      <c r="E161" s="7">
        <f t="array" ref="E161">_xlfn.XLOOKUP($K161,
         'Лист2'!$G$2:$G$505,
         'Лист2'!$C$2:$C$505,
         "не найдено")</f>
        <v>125</v>
      </c>
      <c r="F161" s="7">
        <f t="array" ref="F161">_xlfn.XLOOKUP($K161,
         'Лист2'!$G$2:$G$505,
         'Лист2'!$D$2:$D$505,
         "не найдено")</f>
        <v>24620</v>
      </c>
      <c r="G161" s="7">
        <f t="array" ref="G161">_xlfn.XLOOKUP($K161,
         'Лист2'!$G$2:$G$505,
         'Лист2'!$D$2:$D$505,
         "не найдено")</f>
        <v>24620</v>
      </c>
      <c r="H161" s="8">
        <f t="shared" si="1"/>
        <v>392985.444</v>
      </c>
      <c r="I161" s="8">
        <f t="shared" si="2"/>
        <v>19</v>
      </c>
      <c r="K161" s="8" t="str">
        <f t="shared" si="3"/>
        <v>43959|Санкт-Петербург Север</v>
      </c>
    </row>
    <row r="162" ht="14.25" customHeight="1">
      <c r="A162" s="5">
        <v>43958.0</v>
      </c>
      <c r="B162" s="6" t="s">
        <v>16</v>
      </c>
      <c r="C162" s="6">
        <v>319110.0</v>
      </c>
      <c r="D162" s="6">
        <v>3.3763989E7</v>
      </c>
      <c r="E162" s="7">
        <f t="array" ref="E162">_xlfn.XLOOKUP($K162,
         'Лист2'!$G$2:$G$505,
         'Лист2'!$C$2:$C$505,
         "не найдено")</f>
        <v>125</v>
      </c>
      <c r="F162" s="7">
        <f t="array" ref="F162">_xlfn.XLOOKUP($K162,
         'Лист2'!$G$2:$G$505,
         'Лист2'!$D$2:$D$505,
         "не найдено")</f>
        <v>18014</v>
      </c>
      <c r="G162" s="7">
        <f t="array" ref="G162">_xlfn.XLOOKUP($K162,
         'Лист2'!$G$2:$G$505,
         'Лист2'!$D$2:$D$505,
         "не найдено")</f>
        <v>18014</v>
      </c>
      <c r="H162" s="8">
        <f t="shared" si="1"/>
        <v>270111.912</v>
      </c>
      <c r="I162" s="8">
        <f t="shared" si="2"/>
        <v>19</v>
      </c>
      <c r="K162" s="8" t="str">
        <f t="shared" si="3"/>
        <v>43958|Санкт-Петербург Север</v>
      </c>
    </row>
    <row r="163" ht="14.25" customHeight="1">
      <c r="A163" s="10">
        <v>43975.0</v>
      </c>
      <c r="B163" s="11" t="s">
        <v>16</v>
      </c>
      <c r="C163" s="11">
        <v>375744.0</v>
      </c>
      <c r="D163" s="11">
        <v>3.81913815E7</v>
      </c>
      <c r="E163" s="7">
        <f t="array" ref="E163">_xlfn.XLOOKUP($K163,
         'Лист2'!$G$2:$G$505,
         'Лист2'!$C$2:$C$505,
         "не найдено")</f>
        <v>125</v>
      </c>
      <c r="F163" s="7">
        <f t="array" ref="F163">_xlfn.XLOOKUP($K163,
         'Лист2'!$G$2:$G$505,
         'Лист2'!$D$2:$D$505,
         "не найдено")</f>
        <v>21004</v>
      </c>
      <c r="G163" s="7">
        <f t="array" ref="G163">_xlfn.XLOOKUP($K163,
         'Лист2'!$G$2:$G$505,
         'Лист2'!$D$2:$D$505,
         "не найдено")</f>
        <v>21004</v>
      </c>
      <c r="H163" s="8">
        <f t="shared" si="1"/>
        <v>305531.052</v>
      </c>
      <c r="I163" s="8">
        <f t="shared" si="2"/>
        <v>21</v>
      </c>
      <c r="K163" s="8" t="str">
        <f t="shared" si="3"/>
        <v>43975|Санкт-Петербург Север</v>
      </c>
    </row>
    <row r="164" ht="14.25" customHeight="1">
      <c r="A164" s="5">
        <v>43967.0</v>
      </c>
      <c r="B164" s="6" t="s">
        <v>20</v>
      </c>
      <c r="C164" s="6">
        <v>81331.5</v>
      </c>
      <c r="D164" s="6">
        <v>6652179.0</v>
      </c>
      <c r="E164" s="7">
        <f t="array" ref="E164">_xlfn.XLOOKUP($K164,
         'Лист2'!$G$2:$G$505,
         'Лист2'!$C$2:$C$505,
         "не найдено")</f>
        <v>36</v>
      </c>
      <c r="F164" s="7">
        <f t="array" ref="F164">_xlfn.XLOOKUP($K164,
         'Лист2'!$G$2:$G$505,
         'Лист2'!$D$2:$D$505,
         "не найдено")</f>
        <v>5286</v>
      </c>
      <c r="G164" s="7">
        <f t="array" ref="G164">_xlfn.XLOOKUP($K164,
         'Лист2'!$G$2:$G$505,
         'Лист2'!$D$2:$D$505,
         "не найдено")</f>
        <v>5286</v>
      </c>
      <c r="H164" s="8">
        <f t="shared" si="1"/>
        <v>184782.75</v>
      </c>
      <c r="I164" s="8">
        <f t="shared" si="2"/>
        <v>20</v>
      </c>
      <c r="K164" s="8" t="str">
        <f t="shared" si="3"/>
        <v>43967|Волгоград</v>
      </c>
    </row>
    <row r="165" ht="14.25" customHeight="1">
      <c r="A165" s="10">
        <v>43970.0</v>
      </c>
      <c r="B165" s="11" t="s">
        <v>20</v>
      </c>
      <c r="C165" s="11">
        <v>75796.5</v>
      </c>
      <c r="D165" s="11">
        <v>6173463.0</v>
      </c>
      <c r="E165" s="7">
        <f t="array" ref="E165">_xlfn.XLOOKUP($K165,
         'Лист2'!$G$2:$G$505,
         'Лист2'!$C$2:$C$505,
         "не найдено")</f>
        <v>36</v>
      </c>
      <c r="F165" s="7">
        <f t="array" ref="F165">_xlfn.XLOOKUP($K165,
         'Лист2'!$G$2:$G$505,
         'Лист2'!$D$2:$D$505,
         "не найдено")</f>
        <v>5094</v>
      </c>
      <c r="G165" s="7">
        <f t="array" ref="G165">_xlfn.XLOOKUP($K165,
         'Лист2'!$G$2:$G$505,
         'Лист2'!$D$2:$D$505,
         "не найдено")</f>
        <v>5094</v>
      </c>
      <c r="H165" s="8">
        <f t="shared" si="1"/>
        <v>171485.0833</v>
      </c>
      <c r="I165" s="8">
        <f t="shared" si="2"/>
        <v>21</v>
      </c>
      <c r="K165" s="8" t="str">
        <f t="shared" si="3"/>
        <v>43970|Волгоград</v>
      </c>
    </row>
    <row r="166" ht="14.25" customHeight="1">
      <c r="A166" s="5">
        <v>43968.0</v>
      </c>
      <c r="B166" s="6" t="s">
        <v>20</v>
      </c>
      <c r="C166" s="6">
        <v>72861.0</v>
      </c>
      <c r="D166" s="6">
        <v>5952802.5</v>
      </c>
      <c r="E166" s="7">
        <f t="array" ref="E166">_xlfn.XLOOKUP($K166,
         'Лист2'!$G$2:$G$505,
         'Лист2'!$C$2:$C$505,
         "не найдено")</f>
        <v>36</v>
      </c>
      <c r="F166" s="7">
        <f t="array" ref="F166">_xlfn.XLOOKUP($K166,
         'Лист2'!$G$2:$G$505,
         'Лист2'!$D$2:$D$505,
         "не найдено")</f>
        <v>4918</v>
      </c>
      <c r="G166" s="7">
        <f t="array" ref="G166">_xlfn.XLOOKUP($K166,
         'Лист2'!$G$2:$G$505,
         'Лист2'!$D$2:$D$505,
         "не найдено")</f>
        <v>4918</v>
      </c>
      <c r="H166" s="8">
        <f t="shared" si="1"/>
        <v>165355.625</v>
      </c>
      <c r="I166" s="8">
        <f t="shared" si="2"/>
        <v>20</v>
      </c>
      <c r="K166" s="8" t="str">
        <f t="shared" si="3"/>
        <v>43968|Волгоград</v>
      </c>
    </row>
    <row r="167" ht="14.25" customHeight="1">
      <c r="A167" s="10">
        <v>43960.0</v>
      </c>
      <c r="B167" s="11" t="s">
        <v>20</v>
      </c>
      <c r="C167" s="11">
        <v>83373.0</v>
      </c>
      <c r="D167" s="11">
        <v>7253427.0</v>
      </c>
      <c r="E167" s="7">
        <f t="array" ref="E167">_xlfn.XLOOKUP($K167,
         'Лист2'!$G$2:$G$505,
         'Лист2'!$C$2:$C$505,
         "не найдено")</f>
        <v>36</v>
      </c>
      <c r="F167" s="7">
        <f t="array" ref="F167">_xlfn.XLOOKUP($K167,
         'Лист2'!$G$2:$G$505,
         'Лист2'!$D$2:$D$505,
         "не найдено")</f>
        <v>5413</v>
      </c>
      <c r="G167" s="7">
        <f t="array" ref="G167">_xlfn.XLOOKUP($K167,
         'Лист2'!$G$2:$G$505,
         'Лист2'!$D$2:$D$505,
         "не найдено")</f>
        <v>5413</v>
      </c>
      <c r="H167" s="8">
        <f t="shared" si="1"/>
        <v>201484.0833</v>
      </c>
      <c r="I167" s="8">
        <f t="shared" si="2"/>
        <v>19</v>
      </c>
      <c r="K167" s="8" t="str">
        <f t="shared" si="3"/>
        <v>43960|Волгоград</v>
      </c>
    </row>
    <row r="168" ht="14.25" customHeight="1">
      <c r="A168" s="5">
        <v>43955.0</v>
      </c>
      <c r="B168" s="6" t="s">
        <v>20</v>
      </c>
      <c r="C168" s="6">
        <v>64108.5</v>
      </c>
      <c r="D168" s="6">
        <v>5561452.5</v>
      </c>
      <c r="E168" s="7">
        <f t="array" ref="E168">_xlfn.XLOOKUP($K168,
         'Лист2'!$G$2:$G$505,
         'Лист2'!$C$2:$C$505,
         "не найдено")</f>
        <v>36</v>
      </c>
      <c r="F168" s="7">
        <f t="array" ref="F168">_xlfn.XLOOKUP($K168,
         'Лист2'!$G$2:$G$505,
         'Лист2'!$D$2:$D$505,
         "не найдено")</f>
        <v>4508</v>
      </c>
      <c r="G168" s="7">
        <f t="array" ref="G168">_xlfn.XLOOKUP($K168,
         'Лист2'!$G$2:$G$505,
         'Лист2'!$D$2:$D$505,
         "не найдено")</f>
        <v>4508</v>
      </c>
      <c r="H168" s="8">
        <f t="shared" si="1"/>
        <v>154484.7917</v>
      </c>
      <c r="I168" s="8">
        <f t="shared" si="2"/>
        <v>19</v>
      </c>
      <c r="K168" s="8" t="str">
        <f t="shared" si="3"/>
        <v>43955|Волгоград</v>
      </c>
    </row>
    <row r="169" ht="14.25" customHeight="1">
      <c r="A169" s="10">
        <v>43950.0</v>
      </c>
      <c r="B169" s="11" t="s">
        <v>20</v>
      </c>
      <c r="C169" s="11">
        <v>74707.5</v>
      </c>
      <c r="D169" s="11">
        <v>6454458.0</v>
      </c>
      <c r="E169" s="7">
        <f t="array" ref="E169">_xlfn.XLOOKUP($K169,
         'Лист2'!$G$2:$G$505,
         'Лист2'!$C$2:$C$505,
         "не найдено")</f>
        <v>36</v>
      </c>
      <c r="F169" s="7">
        <f t="array" ref="F169">_xlfn.XLOOKUP($K169,
         'Лист2'!$G$2:$G$505,
         'Лист2'!$D$2:$D$505,
         "не найдено")</f>
        <v>4937</v>
      </c>
      <c r="G169" s="7">
        <f t="array" ref="G169">_xlfn.XLOOKUP($K169,
         'Лист2'!$G$2:$G$505,
         'Лист2'!$D$2:$D$505,
         "не найдено")</f>
        <v>4937</v>
      </c>
      <c r="H169" s="8">
        <f t="shared" si="1"/>
        <v>179290.5</v>
      </c>
      <c r="I169" s="8">
        <f t="shared" si="2"/>
        <v>18</v>
      </c>
      <c r="K169" s="8" t="str">
        <f t="shared" si="3"/>
        <v>43950|Волгоград</v>
      </c>
    </row>
    <row r="170" ht="14.25" customHeight="1">
      <c r="A170" s="5">
        <v>43953.0</v>
      </c>
      <c r="B170" s="6" t="s">
        <v>20</v>
      </c>
      <c r="C170" s="6">
        <v>46216.5</v>
      </c>
      <c r="D170" s="6">
        <v>4118251.5</v>
      </c>
      <c r="E170" s="7">
        <f t="array" ref="E170">_xlfn.XLOOKUP($K170,
         'Лист2'!$G$2:$G$505,
         'Лист2'!$C$2:$C$505,
         "не найдено")</f>
        <v>36</v>
      </c>
      <c r="F170" s="7">
        <f t="array" ref="F170">_xlfn.XLOOKUP($K170,
         'Лист2'!$G$2:$G$505,
         'Лист2'!$D$2:$D$505,
         "не найдено")</f>
        <v>3442</v>
      </c>
      <c r="G170" s="7">
        <f t="array" ref="G170">_xlfn.XLOOKUP($K170,
         'Лист2'!$G$2:$G$505,
         'Лист2'!$D$2:$D$505,
         "не найдено")</f>
        <v>3442</v>
      </c>
      <c r="H170" s="8">
        <f t="shared" si="1"/>
        <v>114395.875</v>
      </c>
      <c r="I170" s="8">
        <f t="shared" si="2"/>
        <v>18</v>
      </c>
      <c r="K170" s="8" t="str">
        <f t="shared" si="3"/>
        <v>43953|Волгоград</v>
      </c>
    </row>
    <row r="171" ht="14.25" customHeight="1">
      <c r="A171" s="10">
        <v>43977.0</v>
      </c>
      <c r="B171" s="11" t="s">
        <v>20</v>
      </c>
      <c r="C171" s="11">
        <v>67726.5</v>
      </c>
      <c r="D171" s="11">
        <v>5864989.5</v>
      </c>
      <c r="E171" s="7">
        <f t="array" ref="E171">_xlfn.XLOOKUP($K171,
         'Лист2'!$G$2:$G$505,
         'Лист2'!$C$2:$C$505,
         "не найдено")</f>
        <v>36</v>
      </c>
      <c r="F171" s="7">
        <f t="array" ref="F171">_xlfn.XLOOKUP($K171,
         'Лист2'!$G$2:$G$505,
         'Лист2'!$D$2:$D$505,
         "не найдено")</f>
        <v>4770</v>
      </c>
      <c r="G171" s="7">
        <f t="array" ref="G171">_xlfn.XLOOKUP($K171,
         'Лист2'!$G$2:$G$505,
         'Лист2'!$D$2:$D$505,
         "не найдено")</f>
        <v>4770</v>
      </c>
      <c r="H171" s="8">
        <f t="shared" si="1"/>
        <v>162916.375</v>
      </c>
      <c r="I171" s="8">
        <f t="shared" si="2"/>
        <v>22</v>
      </c>
      <c r="K171" s="8" t="str">
        <f t="shared" si="3"/>
        <v>43977|Волгоград</v>
      </c>
    </row>
    <row r="172" ht="14.25" customHeight="1">
      <c r="A172" s="5">
        <v>43952.0</v>
      </c>
      <c r="B172" s="6" t="s">
        <v>20</v>
      </c>
      <c r="C172" s="6">
        <v>82228.5</v>
      </c>
      <c r="D172" s="6">
        <v>7032225.0</v>
      </c>
      <c r="E172" s="7">
        <f t="array" ref="E172">_xlfn.XLOOKUP($K172,
         'Лист2'!$G$2:$G$505,
         'Лист2'!$C$2:$C$505,
         "не найдено")</f>
        <v>36</v>
      </c>
      <c r="F172" s="7">
        <f t="array" ref="F172">_xlfn.XLOOKUP($K172,
         'Лист2'!$G$2:$G$505,
         'Лист2'!$D$2:$D$505,
         "не найдено")</f>
        <v>5457</v>
      </c>
      <c r="G172" s="7">
        <f t="array" ref="G172">_xlfn.XLOOKUP($K172,
         'Лист2'!$G$2:$G$505,
         'Лист2'!$D$2:$D$505,
         "не найдено")</f>
        <v>5457</v>
      </c>
      <c r="H172" s="8">
        <f t="shared" si="1"/>
        <v>195339.5833</v>
      </c>
      <c r="I172" s="8">
        <f t="shared" si="2"/>
        <v>18</v>
      </c>
      <c r="K172" s="8" t="str">
        <f t="shared" si="3"/>
        <v>43952|Волгоград</v>
      </c>
    </row>
    <row r="173" ht="14.25" customHeight="1">
      <c r="A173" s="10">
        <v>43963.0</v>
      </c>
      <c r="B173" s="11" t="s">
        <v>20</v>
      </c>
      <c r="C173" s="11">
        <v>64390.5</v>
      </c>
      <c r="D173" s="11">
        <v>5523145.5</v>
      </c>
      <c r="E173" s="7">
        <f t="array" ref="E173">_xlfn.XLOOKUP($K173,
         'Лист2'!$G$2:$G$505,
         'Лист2'!$C$2:$C$505,
         "не найдено")</f>
        <v>36</v>
      </c>
      <c r="F173" s="7">
        <f t="array" ref="F173">_xlfn.XLOOKUP($K173,
         'Лист2'!$G$2:$G$505,
         'Лист2'!$D$2:$D$505,
         "не найдено")</f>
        <v>4418</v>
      </c>
      <c r="G173" s="7">
        <f t="array" ref="G173">_xlfn.XLOOKUP($K173,
         'Лист2'!$G$2:$G$505,
         'Лист2'!$D$2:$D$505,
         "не найдено")</f>
        <v>4418</v>
      </c>
      <c r="H173" s="8">
        <f t="shared" si="1"/>
        <v>153420.7083</v>
      </c>
      <c r="I173" s="8">
        <f t="shared" si="2"/>
        <v>20</v>
      </c>
      <c r="K173" s="8" t="str">
        <f t="shared" si="3"/>
        <v>43963|Волгоград</v>
      </c>
    </row>
    <row r="174" ht="14.25" customHeight="1">
      <c r="A174" s="5">
        <v>43972.0</v>
      </c>
      <c r="B174" s="6" t="s">
        <v>20</v>
      </c>
      <c r="C174" s="6">
        <v>73126.5</v>
      </c>
      <c r="D174" s="6">
        <v>5864085.0</v>
      </c>
      <c r="E174" s="7">
        <f t="array" ref="E174">_xlfn.XLOOKUP($K174,
         'Лист2'!$G$2:$G$505,
         'Лист2'!$C$2:$C$505,
         "не найдено")</f>
        <v>36</v>
      </c>
      <c r="F174" s="7">
        <f t="array" ref="F174">_xlfn.XLOOKUP($K174,
         'Лист2'!$G$2:$G$505,
         'Лист2'!$D$2:$D$505,
         "не найдено")</f>
        <v>4816</v>
      </c>
      <c r="G174" s="7">
        <f t="array" ref="G174">_xlfn.XLOOKUP($K174,
         'Лист2'!$G$2:$G$505,
         'Лист2'!$D$2:$D$505,
         "не найдено")</f>
        <v>4816</v>
      </c>
      <c r="H174" s="8">
        <f t="shared" si="1"/>
        <v>162891.25</v>
      </c>
      <c r="I174" s="8">
        <f t="shared" si="2"/>
        <v>21</v>
      </c>
      <c r="K174" s="8" t="str">
        <f t="shared" si="3"/>
        <v>43972|Волгоград</v>
      </c>
    </row>
    <row r="175" ht="14.25" customHeight="1">
      <c r="A175" s="10">
        <v>43971.0</v>
      </c>
      <c r="B175" s="11" t="s">
        <v>20</v>
      </c>
      <c r="C175" s="11">
        <v>99631.5</v>
      </c>
      <c r="D175" s="11">
        <v>7121946.0</v>
      </c>
      <c r="E175" s="7">
        <f t="array" ref="E175">_xlfn.XLOOKUP($K175,
         'Лист2'!$G$2:$G$505,
         'Лист2'!$C$2:$C$505,
         "не найдено")</f>
        <v>36</v>
      </c>
      <c r="F175" s="7">
        <f t="array" ref="F175">_xlfn.XLOOKUP($K175,
         'Лист2'!$G$2:$G$505,
         'Лист2'!$D$2:$D$505,
         "не найдено")</f>
        <v>5914</v>
      </c>
      <c r="G175" s="7">
        <f t="array" ref="G175">_xlfn.XLOOKUP($K175,
         'Лист2'!$G$2:$G$505,
         'Лист2'!$D$2:$D$505,
         "не найдено")</f>
        <v>5914</v>
      </c>
      <c r="H175" s="8">
        <f t="shared" si="1"/>
        <v>197831.8333</v>
      </c>
      <c r="I175" s="8">
        <f t="shared" si="2"/>
        <v>21</v>
      </c>
      <c r="K175" s="8" t="str">
        <f t="shared" si="3"/>
        <v>43971|Волгоград</v>
      </c>
    </row>
    <row r="176" ht="14.25" customHeight="1">
      <c r="A176" s="5">
        <v>43956.0</v>
      </c>
      <c r="B176" s="6" t="s">
        <v>20</v>
      </c>
      <c r="C176" s="6">
        <v>66396.0</v>
      </c>
      <c r="D176" s="6">
        <v>5770539.0</v>
      </c>
      <c r="E176" s="7">
        <f t="array" ref="E176">_xlfn.XLOOKUP($K176,
         'Лист2'!$G$2:$G$505,
         'Лист2'!$C$2:$C$505,
         "не найдено")</f>
        <v>36</v>
      </c>
      <c r="F176" s="7">
        <f t="array" ref="F176">_xlfn.XLOOKUP($K176,
         'Лист2'!$G$2:$G$505,
         'Лист2'!$D$2:$D$505,
         "не найдено")</f>
        <v>4575</v>
      </c>
      <c r="G176" s="7">
        <f t="array" ref="G176">_xlfn.XLOOKUP($K176,
         'Лист2'!$G$2:$G$505,
         'Лист2'!$D$2:$D$505,
         "не найдено")</f>
        <v>4575</v>
      </c>
      <c r="H176" s="8">
        <f t="shared" si="1"/>
        <v>160292.75</v>
      </c>
      <c r="I176" s="8">
        <f t="shared" si="2"/>
        <v>19</v>
      </c>
      <c r="K176" s="8" t="str">
        <f t="shared" si="3"/>
        <v>43956|Волгоград</v>
      </c>
    </row>
    <row r="177" ht="14.25" customHeight="1">
      <c r="A177" s="10">
        <v>43949.0</v>
      </c>
      <c r="B177" s="11" t="s">
        <v>20</v>
      </c>
      <c r="C177" s="11">
        <v>73147.5</v>
      </c>
      <c r="D177" s="11">
        <v>6288246.0</v>
      </c>
      <c r="E177" s="7">
        <f t="array" ref="E177">_xlfn.XLOOKUP($K177,
         'Лист2'!$G$2:$G$505,
         'Лист2'!$C$2:$C$505,
         "не найдено")</f>
        <v>36</v>
      </c>
      <c r="F177" s="7">
        <f t="array" ref="F177">_xlfn.XLOOKUP($K177,
         'Лист2'!$G$2:$G$505,
         'Лист2'!$D$2:$D$505,
         "не найдено")</f>
        <v>4923</v>
      </c>
      <c r="G177" s="7">
        <f t="array" ref="G177">_xlfn.XLOOKUP($K177,
         'Лист2'!$G$2:$G$505,
         'Лист2'!$D$2:$D$505,
         "не найдено")</f>
        <v>4923</v>
      </c>
      <c r="H177" s="8">
        <f t="shared" si="1"/>
        <v>174673.5</v>
      </c>
      <c r="I177" s="8">
        <f t="shared" si="2"/>
        <v>18</v>
      </c>
      <c r="K177" s="8" t="str">
        <f t="shared" si="3"/>
        <v>43949|Волгоград</v>
      </c>
    </row>
    <row r="178" ht="14.25" customHeight="1">
      <c r="A178" s="5">
        <v>43964.0</v>
      </c>
      <c r="B178" s="6" t="s">
        <v>20</v>
      </c>
      <c r="C178" s="6">
        <v>73062.0</v>
      </c>
      <c r="D178" s="6">
        <v>6333828.0</v>
      </c>
      <c r="E178" s="7">
        <f t="array" ref="E178">_xlfn.XLOOKUP($K178,
         'Лист2'!$G$2:$G$505,
         'Лист2'!$C$2:$C$505,
         "не найдено")</f>
        <v>36</v>
      </c>
      <c r="F178" s="7">
        <f t="array" ref="F178">_xlfn.XLOOKUP($K178,
         'Лист2'!$G$2:$G$505,
         'Лист2'!$D$2:$D$505,
         "не найдено")</f>
        <v>4967</v>
      </c>
      <c r="G178" s="7">
        <f t="array" ref="G178">_xlfn.XLOOKUP($K178,
         'Лист2'!$G$2:$G$505,
         'Лист2'!$D$2:$D$505,
         "не найдено")</f>
        <v>4967</v>
      </c>
      <c r="H178" s="8">
        <f t="shared" si="1"/>
        <v>175939.6667</v>
      </c>
      <c r="I178" s="8">
        <f t="shared" si="2"/>
        <v>20</v>
      </c>
      <c r="K178" s="8" t="str">
        <f t="shared" si="3"/>
        <v>43964|Волгоград</v>
      </c>
    </row>
    <row r="179" ht="14.25" customHeight="1">
      <c r="A179" s="10">
        <v>43982.0</v>
      </c>
      <c r="B179" s="11" t="s">
        <v>16</v>
      </c>
      <c r="C179" s="11">
        <v>379663.5</v>
      </c>
      <c r="D179" s="11">
        <v>3.9380178E7</v>
      </c>
      <c r="E179" s="7">
        <f t="array" ref="E179">_xlfn.XLOOKUP($K179,
         'Лист2'!$G$2:$G$505,
         'Лист2'!$C$2:$C$505,
         "не найдено")</f>
        <v>124</v>
      </c>
      <c r="F179" s="7">
        <f t="array" ref="F179">_xlfn.XLOOKUP($K179,
         'Лист2'!$G$2:$G$505,
         'Лист2'!$D$2:$D$505,
         "не найдено")</f>
        <v>21392</v>
      </c>
      <c r="G179" s="7">
        <f t="array" ref="G179">_xlfn.XLOOKUP($K179,
         'Лист2'!$G$2:$G$505,
         'Лист2'!$D$2:$D$505,
         "не найдено")</f>
        <v>21392</v>
      </c>
      <c r="H179" s="8">
        <f t="shared" si="1"/>
        <v>317582.0806</v>
      </c>
      <c r="I179" s="8">
        <f t="shared" si="2"/>
        <v>22</v>
      </c>
      <c r="K179" s="8" t="str">
        <f t="shared" si="3"/>
        <v>43982|Санкт-Петербург Север</v>
      </c>
    </row>
    <row r="180" ht="14.25" customHeight="1">
      <c r="A180" s="5">
        <v>43954.0</v>
      </c>
      <c r="B180" s="6" t="s">
        <v>20</v>
      </c>
      <c r="C180" s="6">
        <v>70581.0</v>
      </c>
      <c r="D180" s="6">
        <v>6221320.5</v>
      </c>
      <c r="E180" s="7">
        <f t="array" ref="E180">_xlfn.XLOOKUP($K180,
         'Лист2'!$G$2:$G$505,
         'Лист2'!$C$2:$C$505,
         "не найдено")</f>
        <v>36</v>
      </c>
      <c r="F180" s="7">
        <f t="array" ref="F180">_xlfn.XLOOKUP($K180,
         'Лист2'!$G$2:$G$505,
         'Лист2'!$D$2:$D$505,
         "не найдено")</f>
        <v>4751</v>
      </c>
      <c r="G180" s="7">
        <f t="array" ref="G180">_xlfn.XLOOKUP($K180,
         'Лист2'!$G$2:$G$505,
         'Лист2'!$D$2:$D$505,
         "не найдено")</f>
        <v>4751</v>
      </c>
      <c r="H180" s="8">
        <f t="shared" si="1"/>
        <v>172814.4583</v>
      </c>
      <c r="I180" s="8">
        <f t="shared" si="2"/>
        <v>18</v>
      </c>
      <c r="K180" s="8" t="str">
        <f t="shared" si="3"/>
        <v>43954|Волгоград</v>
      </c>
    </row>
    <row r="181" ht="14.25" customHeight="1">
      <c r="A181" s="10">
        <v>43981.0</v>
      </c>
      <c r="B181" s="11" t="s">
        <v>16</v>
      </c>
      <c r="C181" s="11">
        <v>453123.0</v>
      </c>
      <c r="D181" s="11">
        <v>4.6370904E7</v>
      </c>
      <c r="E181" s="7">
        <f t="array" ref="E181">_xlfn.XLOOKUP($K181,
         'Лист2'!$G$2:$G$505,
         'Лист2'!$C$2:$C$505,
         "не найдено")</f>
        <v>124</v>
      </c>
      <c r="F181" s="7">
        <f t="array" ref="F181">_xlfn.XLOOKUP($K181,
         'Лист2'!$G$2:$G$505,
         'Лист2'!$D$2:$D$505,
         "не найдено")</f>
        <v>24325</v>
      </c>
      <c r="G181" s="7">
        <f t="array" ref="G181">_xlfn.XLOOKUP($K181,
         'Лист2'!$G$2:$G$505,
         'Лист2'!$D$2:$D$505,
         "не найдено")</f>
        <v>24325</v>
      </c>
      <c r="H181" s="8">
        <f t="shared" si="1"/>
        <v>373958.9032</v>
      </c>
      <c r="I181" s="8">
        <f t="shared" si="2"/>
        <v>22</v>
      </c>
      <c r="K181" s="8" t="str">
        <f t="shared" si="3"/>
        <v>43981|Санкт-Петербург Север</v>
      </c>
    </row>
    <row r="182" ht="14.25" customHeight="1">
      <c r="A182" s="5">
        <v>43957.0</v>
      </c>
      <c r="B182" s="6" t="s">
        <v>20</v>
      </c>
      <c r="C182" s="6">
        <v>63012.0</v>
      </c>
      <c r="D182" s="6">
        <v>5454121.5</v>
      </c>
      <c r="E182" s="7">
        <f t="array" ref="E182">_xlfn.XLOOKUP($K182,
         'Лист2'!$G$2:$G$505,
         'Лист2'!$C$2:$C$505,
         "не найдено")</f>
        <v>36</v>
      </c>
      <c r="F182" s="7">
        <f t="array" ref="F182">_xlfn.XLOOKUP($K182,
         'Лист2'!$G$2:$G$505,
         'Лист2'!$D$2:$D$505,
         "не найдено")</f>
        <v>4384</v>
      </c>
      <c r="G182" s="7">
        <f t="array" ref="G182">_xlfn.XLOOKUP($K182,
         'Лист2'!$G$2:$G$505,
         'Лист2'!$D$2:$D$505,
         "не найдено")</f>
        <v>4384</v>
      </c>
      <c r="H182" s="8">
        <f t="shared" si="1"/>
        <v>151503.375</v>
      </c>
      <c r="I182" s="8">
        <f t="shared" si="2"/>
        <v>19</v>
      </c>
      <c r="K182" s="8" t="str">
        <f t="shared" si="3"/>
        <v>43957|Волгоград</v>
      </c>
    </row>
    <row r="183" ht="14.25" customHeight="1">
      <c r="A183" s="10">
        <v>43974.0</v>
      </c>
      <c r="B183" s="11" t="s">
        <v>20</v>
      </c>
      <c r="C183" s="11">
        <v>89556.0</v>
      </c>
      <c r="D183" s="11">
        <v>7173117.0</v>
      </c>
      <c r="E183" s="7">
        <f t="array" ref="E183">_xlfn.XLOOKUP($K183,
         'Лист2'!$G$2:$G$505,
         'Лист2'!$C$2:$C$505,
         "не найдено")</f>
        <v>36</v>
      </c>
      <c r="F183" s="7">
        <f t="array" ref="F183">_xlfn.XLOOKUP($K183,
         'Лист2'!$G$2:$G$505,
         'Лист2'!$D$2:$D$505,
         "не найдено")</f>
        <v>5651</v>
      </c>
      <c r="G183" s="7">
        <f t="array" ref="G183">_xlfn.XLOOKUP($K183,
         'Лист2'!$G$2:$G$505,
         'Лист2'!$D$2:$D$505,
         "не найдено")</f>
        <v>5651</v>
      </c>
      <c r="H183" s="8">
        <f t="shared" si="1"/>
        <v>199253.25</v>
      </c>
      <c r="I183" s="8">
        <f t="shared" si="2"/>
        <v>21</v>
      </c>
      <c r="K183" s="8" t="str">
        <f t="shared" si="3"/>
        <v>43974|Волгоград</v>
      </c>
    </row>
    <row r="184" ht="14.25" customHeight="1">
      <c r="A184" s="5">
        <v>43979.0</v>
      </c>
      <c r="B184" s="6" t="s">
        <v>16</v>
      </c>
      <c r="C184" s="6">
        <v>364638.0</v>
      </c>
      <c r="D184" s="6">
        <v>3.79476885E7</v>
      </c>
      <c r="E184" s="7">
        <f t="array" ref="E184">_xlfn.XLOOKUP($K184,
         'Лист2'!$G$2:$G$505,
         'Лист2'!$C$2:$C$505,
         "не найдено")</f>
        <v>124</v>
      </c>
      <c r="F184" s="7">
        <f t="array" ref="F184">_xlfn.XLOOKUP($K184,
         'Лист2'!$G$2:$G$505,
         'Лист2'!$D$2:$D$505,
         "не найдено")</f>
        <v>20868</v>
      </c>
      <c r="G184" s="7">
        <f t="array" ref="G184">_xlfn.XLOOKUP($K184,
         'Лист2'!$G$2:$G$505,
         'Лист2'!$D$2:$D$505,
         "не найдено")</f>
        <v>20868</v>
      </c>
      <c r="H184" s="8">
        <f t="shared" si="1"/>
        <v>306029.746</v>
      </c>
      <c r="I184" s="8">
        <f t="shared" si="2"/>
        <v>22</v>
      </c>
      <c r="K184" s="8" t="str">
        <f t="shared" si="3"/>
        <v>43979|Санкт-Петербург Север</v>
      </c>
    </row>
    <row r="185" ht="14.25" customHeight="1">
      <c r="A185" s="10">
        <v>43976.0</v>
      </c>
      <c r="B185" s="11" t="s">
        <v>20</v>
      </c>
      <c r="C185" s="11">
        <v>66316.5</v>
      </c>
      <c r="D185" s="11">
        <v>5704650.0</v>
      </c>
      <c r="E185" s="7">
        <f t="array" ref="E185">_xlfn.XLOOKUP($K185,
         'Лист2'!$G$2:$G$505,
         'Лист2'!$C$2:$C$505,
         "не найдено")</f>
        <v>36</v>
      </c>
      <c r="F185" s="7">
        <f t="array" ref="F185">_xlfn.XLOOKUP($K185,
         'Лист2'!$G$2:$G$505,
         'Лист2'!$D$2:$D$505,
         "не найдено")</f>
        <v>4641</v>
      </c>
      <c r="G185" s="7">
        <f t="array" ref="G185">_xlfn.XLOOKUP($K185,
         'Лист2'!$G$2:$G$505,
         'Лист2'!$D$2:$D$505,
         "не найдено")</f>
        <v>4641</v>
      </c>
      <c r="H185" s="8">
        <f t="shared" si="1"/>
        <v>158462.5</v>
      </c>
      <c r="I185" s="8">
        <f t="shared" si="2"/>
        <v>22</v>
      </c>
      <c r="K185" s="8" t="str">
        <f t="shared" si="3"/>
        <v>43976|Волгоград</v>
      </c>
    </row>
    <row r="186" ht="14.25" customHeight="1">
      <c r="A186" s="5">
        <v>43951.0</v>
      </c>
      <c r="B186" s="6" t="s">
        <v>20</v>
      </c>
      <c r="C186" s="6">
        <v>78235.5</v>
      </c>
      <c r="D186" s="6">
        <v>6819594.0</v>
      </c>
      <c r="E186" s="7">
        <f t="array" ref="E186">_xlfn.XLOOKUP($K186,
         'Лист2'!$G$2:$G$505,
         'Лист2'!$C$2:$C$505,
         "не найдено")</f>
        <v>36</v>
      </c>
      <c r="F186" s="7">
        <f t="array" ref="F186">_xlfn.XLOOKUP($K186,
         'Лист2'!$G$2:$G$505,
         'Лист2'!$D$2:$D$505,
         "не найдено")</f>
        <v>5143</v>
      </c>
      <c r="G186" s="7">
        <f t="array" ref="G186">_xlfn.XLOOKUP($K186,
         'Лист2'!$G$2:$G$505,
         'Лист2'!$D$2:$D$505,
         "не найдено")</f>
        <v>5143</v>
      </c>
      <c r="H186" s="8">
        <f t="shared" si="1"/>
        <v>189433.1667</v>
      </c>
      <c r="I186" s="8">
        <f t="shared" si="2"/>
        <v>18</v>
      </c>
      <c r="K186" s="8" t="str">
        <f t="shared" si="3"/>
        <v>43951|Волгоград</v>
      </c>
    </row>
    <row r="187" ht="14.25" customHeight="1">
      <c r="A187" s="10">
        <v>43961.0</v>
      </c>
      <c r="B187" s="11" t="s">
        <v>20</v>
      </c>
      <c r="C187" s="11">
        <v>88311.0</v>
      </c>
      <c r="D187" s="11">
        <v>7726069.5</v>
      </c>
      <c r="E187" s="7">
        <f t="array" ref="E187">_xlfn.XLOOKUP($K187,
         'Лист2'!$G$2:$G$505,
         'Лист2'!$C$2:$C$505,
         "не найдено")</f>
        <v>36</v>
      </c>
      <c r="F187" s="7">
        <f t="array" ref="F187">_xlfn.XLOOKUP($K187,
         'Лист2'!$G$2:$G$505,
         'Лист2'!$D$2:$D$505,
         "не найдено")</f>
        <v>5746</v>
      </c>
      <c r="G187" s="7">
        <f t="array" ref="G187">_xlfn.XLOOKUP($K187,
         'Лист2'!$G$2:$G$505,
         'Лист2'!$D$2:$D$505,
         "не найдено")</f>
        <v>5746</v>
      </c>
      <c r="H187" s="8">
        <f t="shared" si="1"/>
        <v>214613.0417</v>
      </c>
      <c r="I187" s="8">
        <f t="shared" si="2"/>
        <v>19</v>
      </c>
      <c r="K187" s="8" t="str">
        <f t="shared" si="3"/>
        <v>43961|Волгоград</v>
      </c>
    </row>
    <row r="188" ht="14.25" customHeight="1">
      <c r="A188" s="5">
        <v>43959.0</v>
      </c>
      <c r="B188" s="6" t="s">
        <v>20</v>
      </c>
      <c r="C188" s="6">
        <v>61804.5</v>
      </c>
      <c r="D188" s="6">
        <v>5365708.5</v>
      </c>
      <c r="E188" s="7">
        <f t="array" ref="E188">_xlfn.XLOOKUP($K188,
         'Лист2'!$G$2:$G$505,
         'Лист2'!$C$2:$C$505,
         "не найдено")</f>
        <v>36</v>
      </c>
      <c r="F188" s="7">
        <f t="array" ref="F188">_xlfn.XLOOKUP($K188,
         'Лист2'!$G$2:$G$505,
         'Лист2'!$D$2:$D$505,
         "не найдено")</f>
        <v>4199</v>
      </c>
      <c r="G188" s="7">
        <f t="array" ref="G188">_xlfn.XLOOKUP($K188,
         'Лист2'!$G$2:$G$505,
         'Лист2'!$D$2:$D$505,
         "не найдено")</f>
        <v>4199</v>
      </c>
      <c r="H188" s="8">
        <f t="shared" si="1"/>
        <v>149047.4583</v>
      </c>
      <c r="I188" s="8">
        <f t="shared" si="2"/>
        <v>19</v>
      </c>
      <c r="K188" s="8" t="str">
        <f t="shared" si="3"/>
        <v>43959|Волгоград</v>
      </c>
    </row>
    <row r="189" ht="14.25" customHeight="1">
      <c r="A189" s="10">
        <v>43958.0</v>
      </c>
      <c r="B189" s="11" t="s">
        <v>20</v>
      </c>
      <c r="C189" s="11">
        <v>71067.0</v>
      </c>
      <c r="D189" s="11">
        <v>6175837.5</v>
      </c>
      <c r="E189" s="7">
        <f t="array" ref="E189">_xlfn.XLOOKUP($K189,
         'Лист2'!$G$2:$G$505,
         'Лист2'!$C$2:$C$505,
         "не найдено")</f>
        <v>36</v>
      </c>
      <c r="F189" s="7">
        <f t="array" ref="F189">_xlfn.XLOOKUP($K189,
         'Лист2'!$G$2:$G$505,
         'Лист2'!$D$2:$D$505,
         "не найдено")</f>
        <v>4826</v>
      </c>
      <c r="G189" s="7">
        <f t="array" ref="G189">_xlfn.XLOOKUP($K189,
         'Лист2'!$G$2:$G$505,
         'Лист2'!$D$2:$D$505,
         "не найдено")</f>
        <v>4826</v>
      </c>
      <c r="H189" s="8">
        <f t="shared" si="1"/>
        <v>171551.0417</v>
      </c>
      <c r="I189" s="8">
        <f t="shared" si="2"/>
        <v>19</v>
      </c>
      <c r="K189" s="8" t="str">
        <f t="shared" si="3"/>
        <v>43958|Волгоград</v>
      </c>
    </row>
    <row r="190" ht="14.25" customHeight="1">
      <c r="A190" s="5">
        <v>43975.0</v>
      </c>
      <c r="B190" s="6" t="s">
        <v>20</v>
      </c>
      <c r="C190" s="6">
        <v>74649.0</v>
      </c>
      <c r="D190" s="6">
        <v>6098236.5</v>
      </c>
      <c r="E190" s="7">
        <f t="array" ref="E190">_xlfn.XLOOKUP($K190,
         'Лист2'!$G$2:$G$505,
         'Лист2'!$C$2:$C$505,
         "не найдено")</f>
        <v>36</v>
      </c>
      <c r="F190" s="7">
        <f t="array" ref="F190">_xlfn.XLOOKUP($K190,
         'Лист2'!$G$2:$G$505,
         'Лист2'!$D$2:$D$505,
         "не найдено")</f>
        <v>4915</v>
      </c>
      <c r="G190" s="7">
        <f t="array" ref="G190">_xlfn.XLOOKUP($K190,
         'Лист2'!$G$2:$G$505,
         'Лист2'!$D$2:$D$505,
         "не найдено")</f>
        <v>4915</v>
      </c>
      <c r="H190" s="8">
        <f t="shared" si="1"/>
        <v>169395.4583</v>
      </c>
      <c r="I190" s="8">
        <f t="shared" si="2"/>
        <v>21</v>
      </c>
      <c r="K190" s="8" t="str">
        <f t="shared" si="3"/>
        <v>43975|Волгоград</v>
      </c>
    </row>
    <row r="191" ht="14.25" customHeight="1">
      <c r="A191" s="10">
        <v>43967.0</v>
      </c>
      <c r="B191" s="11" t="s">
        <v>19</v>
      </c>
      <c r="C191" s="11">
        <v>44560.5</v>
      </c>
      <c r="D191" s="11">
        <v>4025148.0</v>
      </c>
      <c r="E191" s="7">
        <f t="array" ref="E191">_xlfn.XLOOKUP($K191,
         'Лист2'!$G$2:$G$505,
         'Лист2'!$C$2:$C$505,
         "не найдено")</f>
        <v>21</v>
      </c>
      <c r="F191" s="7">
        <f t="array" ref="F191">_xlfn.XLOOKUP($K191,
         'Лист2'!$G$2:$G$505,
         'Лист2'!$D$2:$D$505,
         "не найдено")</f>
        <v>2427</v>
      </c>
      <c r="G191" s="7">
        <f t="array" ref="G191">_xlfn.XLOOKUP($K191,
         'Лист2'!$G$2:$G$505,
         'Лист2'!$D$2:$D$505,
         "не найдено")</f>
        <v>2427</v>
      </c>
      <c r="H191" s="8">
        <f t="shared" si="1"/>
        <v>191673.7143</v>
      </c>
      <c r="I191" s="8">
        <f t="shared" si="2"/>
        <v>20</v>
      </c>
      <c r="K191" s="8" t="str">
        <f t="shared" si="3"/>
        <v>43967|Казань</v>
      </c>
    </row>
    <row r="192" ht="14.25" customHeight="1">
      <c r="A192" s="5">
        <v>43970.0</v>
      </c>
      <c r="B192" s="6" t="s">
        <v>19</v>
      </c>
      <c r="C192" s="6">
        <v>38250.0</v>
      </c>
      <c r="D192" s="6">
        <v>3552937.5</v>
      </c>
      <c r="E192" s="7">
        <f t="array" ref="E192">_xlfn.XLOOKUP($K192,
         'Лист2'!$G$2:$G$505,
         'Лист2'!$C$2:$C$505,
         "не найдено")</f>
        <v>21</v>
      </c>
      <c r="F192" s="7">
        <f t="array" ref="F192">_xlfn.XLOOKUP($K192,
         'Лист2'!$G$2:$G$505,
         'Лист2'!$D$2:$D$505,
         "не найдено")</f>
        <v>2245</v>
      </c>
      <c r="G192" s="7">
        <f t="array" ref="G192">_xlfn.XLOOKUP($K192,
         'Лист2'!$G$2:$G$505,
         'Лист2'!$D$2:$D$505,
         "не найдено")</f>
        <v>2245</v>
      </c>
      <c r="H192" s="8">
        <f t="shared" si="1"/>
        <v>169187.5</v>
      </c>
      <c r="I192" s="8">
        <f t="shared" si="2"/>
        <v>21</v>
      </c>
      <c r="K192" s="8" t="str">
        <f t="shared" si="3"/>
        <v>43970|Казань</v>
      </c>
    </row>
    <row r="193" ht="14.25" customHeight="1">
      <c r="A193" s="10">
        <v>43968.0</v>
      </c>
      <c r="B193" s="11" t="s">
        <v>19</v>
      </c>
      <c r="C193" s="11">
        <v>34830.0</v>
      </c>
      <c r="D193" s="11">
        <v>3191155.5</v>
      </c>
      <c r="E193" s="7">
        <f t="array" ref="E193">_xlfn.XLOOKUP($K193,
         'Лист2'!$G$2:$G$505,
         'Лист2'!$C$2:$C$505,
         "не найдено")</f>
        <v>21</v>
      </c>
      <c r="F193" s="7">
        <f t="array" ref="F193">_xlfn.XLOOKUP($K193,
         'Лист2'!$G$2:$G$505,
         'Лист2'!$D$2:$D$505,
         "не найдено")</f>
        <v>2054</v>
      </c>
      <c r="G193" s="7">
        <f t="array" ref="G193">_xlfn.XLOOKUP($K193,
         'Лист2'!$G$2:$G$505,
         'Лист2'!$D$2:$D$505,
         "не найдено")</f>
        <v>2054</v>
      </c>
      <c r="H193" s="8">
        <f t="shared" si="1"/>
        <v>151959.7857</v>
      </c>
      <c r="I193" s="8">
        <f t="shared" si="2"/>
        <v>20</v>
      </c>
      <c r="K193" s="8" t="str">
        <f t="shared" si="3"/>
        <v>43968|Казань</v>
      </c>
    </row>
    <row r="194" ht="14.25" customHeight="1">
      <c r="A194" s="5">
        <v>43960.0</v>
      </c>
      <c r="B194" s="6" t="s">
        <v>19</v>
      </c>
      <c r="C194" s="6">
        <v>32239.5</v>
      </c>
      <c r="D194" s="6">
        <v>3084892.5</v>
      </c>
      <c r="E194" s="7">
        <f t="array" ref="E194">_xlfn.XLOOKUP($K194,
         'Лист2'!$G$2:$G$505,
         'Лист2'!$C$2:$C$505,
         "не найдено")</f>
        <v>21</v>
      </c>
      <c r="F194" s="7">
        <f t="array" ref="F194">_xlfn.XLOOKUP($K194,
         'Лист2'!$G$2:$G$505,
         'Лист2'!$D$2:$D$505,
         "не найдено")</f>
        <v>1891</v>
      </c>
      <c r="G194" s="7">
        <f t="array" ref="G194">_xlfn.XLOOKUP($K194,
         'Лист2'!$G$2:$G$505,
         'Лист2'!$D$2:$D$505,
         "не найдено")</f>
        <v>1891</v>
      </c>
      <c r="H194" s="8">
        <f t="shared" si="1"/>
        <v>146899.6429</v>
      </c>
      <c r="I194" s="8">
        <f t="shared" si="2"/>
        <v>19</v>
      </c>
      <c r="K194" s="8" t="str">
        <f t="shared" si="3"/>
        <v>43960|Казань</v>
      </c>
    </row>
    <row r="195" ht="14.25" customHeight="1">
      <c r="A195" s="10">
        <v>43955.0</v>
      </c>
      <c r="B195" s="11" t="s">
        <v>19</v>
      </c>
      <c r="C195" s="11">
        <v>30780.0</v>
      </c>
      <c r="D195" s="11">
        <v>2817853.5</v>
      </c>
      <c r="E195" s="7">
        <f t="array" ref="E195">_xlfn.XLOOKUP($K195,
         'Лист2'!$G$2:$G$505,
         'Лист2'!$C$2:$C$505,
         "не найдено")</f>
        <v>20</v>
      </c>
      <c r="F195" s="7">
        <f t="array" ref="F195">_xlfn.XLOOKUP($K195,
         'Лист2'!$G$2:$G$505,
         'Лист2'!$D$2:$D$505,
         "не найдено")</f>
        <v>1804</v>
      </c>
      <c r="G195" s="7">
        <f t="array" ref="G195">_xlfn.XLOOKUP($K195,
         'Лист2'!$G$2:$G$505,
         'Лист2'!$D$2:$D$505,
         "не найдено")</f>
        <v>1804</v>
      </c>
      <c r="H195" s="8">
        <f t="shared" si="1"/>
        <v>140892.675</v>
      </c>
      <c r="I195" s="8">
        <f t="shared" si="2"/>
        <v>19</v>
      </c>
      <c r="K195" s="8" t="str">
        <f t="shared" si="3"/>
        <v>43955|Казань</v>
      </c>
    </row>
    <row r="196" ht="14.25" customHeight="1">
      <c r="A196" s="5">
        <v>43950.0</v>
      </c>
      <c r="B196" s="6" t="s">
        <v>19</v>
      </c>
      <c r="C196" s="6">
        <v>29142.0</v>
      </c>
      <c r="D196" s="6">
        <v>2627595.0</v>
      </c>
      <c r="E196" s="7">
        <f t="array" ref="E196">_xlfn.XLOOKUP($K196,
         'Лист2'!$G$2:$G$505,
         'Лист2'!$C$2:$C$505,
         "не найдено")</f>
        <v>19</v>
      </c>
      <c r="F196" s="7">
        <f t="array" ref="F196">_xlfn.XLOOKUP($K196,
         'Лист2'!$G$2:$G$505,
         'Лист2'!$D$2:$D$505,
         "не найдено")</f>
        <v>1676</v>
      </c>
      <c r="G196" s="7">
        <f t="array" ref="G196">_xlfn.XLOOKUP($K196,
         'Лист2'!$G$2:$G$505,
         'Лист2'!$D$2:$D$505,
         "не найдено")</f>
        <v>1676</v>
      </c>
      <c r="H196" s="8">
        <f t="shared" si="1"/>
        <v>138294.4737</v>
      </c>
      <c r="I196" s="8">
        <f t="shared" si="2"/>
        <v>18</v>
      </c>
      <c r="K196" s="8" t="str">
        <f t="shared" si="3"/>
        <v>43950|Казань</v>
      </c>
    </row>
    <row r="197" ht="14.25" customHeight="1">
      <c r="A197" s="10">
        <v>43953.0</v>
      </c>
      <c r="B197" s="11" t="s">
        <v>19</v>
      </c>
      <c r="C197" s="11">
        <v>26428.5</v>
      </c>
      <c r="D197" s="11">
        <v>2470465.5</v>
      </c>
      <c r="E197" s="7">
        <f t="array" ref="E197">_xlfn.XLOOKUP($K197,
         'Лист2'!$G$2:$G$505,
         'Лист2'!$C$2:$C$505,
         "не найдено")</f>
        <v>20</v>
      </c>
      <c r="F197" s="7">
        <f t="array" ref="F197">_xlfn.XLOOKUP($K197,
         'Лист2'!$G$2:$G$505,
         'Лист2'!$D$2:$D$505,
         "не найдено")</f>
        <v>1613</v>
      </c>
      <c r="G197" s="7">
        <f t="array" ref="G197">_xlfn.XLOOKUP($K197,
         'Лист2'!$G$2:$G$505,
         'Лист2'!$D$2:$D$505,
         "не найдено")</f>
        <v>1613</v>
      </c>
      <c r="H197" s="8">
        <f t="shared" si="1"/>
        <v>123523.275</v>
      </c>
      <c r="I197" s="8">
        <f t="shared" si="2"/>
        <v>18</v>
      </c>
      <c r="K197" s="8" t="str">
        <f t="shared" si="3"/>
        <v>43953|Казань</v>
      </c>
    </row>
    <row r="198" ht="14.25" customHeight="1">
      <c r="A198" s="5">
        <v>43977.0</v>
      </c>
      <c r="B198" s="6" t="s">
        <v>19</v>
      </c>
      <c r="C198" s="6">
        <v>40744.5</v>
      </c>
      <c r="D198" s="6">
        <v>3700311.0</v>
      </c>
      <c r="E198" s="7">
        <f t="array" ref="E198">_xlfn.XLOOKUP($K198,
         'Лист2'!$G$2:$G$505,
         'Лист2'!$C$2:$C$505,
         "не найдено")</f>
        <v>21</v>
      </c>
      <c r="F198" s="7">
        <f t="array" ref="F198">_xlfn.XLOOKUP($K198,
         'Лист2'!$G$2:$G$505,
         'Лист2'!$D$2:$D$505,
         "не найдено")</f>
        <v>2418</v>
      </c>
      <c r="G198" s="7">
        <f t="array" ref="G198">_xlfn.XLOOKUP($K198,
         'Лист2'!$G$2:$G$505,
         'Лист2'!$D$2:$D$505,
         "не найдено")</f>
        <v>2418</v>
      </c>
      <c r="H198" s="8">
        <f t="shared" si="1"/>
        <v>176205.2857</v>
      </c>
      <c r="I198" s="8">
        <f t="shared" si="2"/>
        <v>22</v>
      </c>
      <c r="K198" s="8" t="str">
        <f t="shared" si="3"/>
        <v>43977|Казань</v>
      </c>
    </row>
    <row r="199" ht="14.25" customHeight="1">
      <c r="A199" s="10">
        <v>43952.0</v>
      </c>
      <c r="B199" s="11" t="s">
        <v>19</v>
      </c>
      <c r="C199" s="11">
        <v>46620.0</v>
      </c>
      <c r="D199" s="11">
        <v>4293241.5</v>
      </c>
      <c r="E199" s="7">
        <f t="array" ref="E199">_xlfn.XLOOKUP($K199,
         'Лист2'!$G$2:$G$505,
         'Лист2'!$C$2:$C$505,
         "не найдено")</f>
        <v>20</v>
      </c>
      <c r="F199" s="7">
        <f t="array" ref="F199">_xlfn.XLOOKUP($K199,
         'Лист2'!$G$2:$G$505,
         'Лист2'!$D$2:$D$505,
         "не найдено")</f>
        <v>2468</v>
      </c>
      <c r="G199" s="7">
        <f t="array" ref="G199">_xlfn.XLOOKUP($K199,
         'Лист2'!$G$2:$G$505,
         'Лист2'!$D$2:$D$505,
         "не найдено")</f>
        <v>2468</v>
      </c>
      <c r="H199" s="8">
        <f t="shared" si="1"/>
        <v>214662.075</v>
      </c>
      <c r="I199" s="8">
        <f t="shared" si="2"/>
        <v>18</v>
      </c>
      <c r="K199" s="8" t="str">
        <f t="shared" si="3"/>
        <v>43952|Казань</v>
      </c>
    </row>
    <row r="200" ht="14.25" customHeight="1">
      <c r="A200" s="5">
        <v>43963.0</v>
      </c>
      <c r="B200" s="6" t="s">
        <v>19</v>
      </c>
      <c r="C200" s="6">
        <v>32419.5</v>
      </c>
      <c r="D200" s="6">
        <v>3080614.5</v>
      </c>
      <c r="E200" s="7">
        <f t="array" ref="E200">_xlfn.XLOOKUP($K200,
         'Лист2'!$G$2:$G$505,
         'Лист2'!$C$2:$C$505,
         "не найдено")</f>
        <v>21</v>
      </c>
      <c r="F200" s="7">
        <f t="array" ref="F200">_xlfn.XLOOKUP($K200,
         'Лист2'!$G$2:$G$505,
         'Лист2'!$D$2:$D$505,
         "не найдено")</f>
        <v>1926</v>
      </c>
      <c r="G200" s="7">
        <f t="array" ref="G200">_xlfn.XLOOKUP($K200,
         'Лист2'!$G$2:$G$505,
         'Лист2'!$D$2:$D$505,
         "не найдено")</f>
        <v>1926</v>
      </c>
      <c r="H200" s="8">
        <f t="shared" si="1"/>
        <v>146695.9286</v>
      </c>
      <c r="I200" s="8">
        <f t="shared" si="2"/>
        <v>20</v>
      </c>
      <c r="K200" s="8" t="str">
        <f t="shared" si="3"/>
        <v>43963|Казань</v>
      </c>
    </row>
    <row r="201" ht="14.25" customHeight="1">
      <c r="A201" s="10">
        <v>43972.0</v>
      </c>
      <c r="B201" s="11" t="s">
        <v>19</v>
      </c>
      <c r="C201" s="11">
        <v>40819.5</v>
      </c>
      <c r="D201" s="11">
        <v>3810394.5</v>
      </c>
      <c r="E201" s="7">
        <f t="array" ref="E201">_xlfn.XLOOKUP($K201,
         'Лист2'!$G$2:$G$505,
         'Лист2'!$C$2:$C$505,
         "не найдено")</f>
        <v>21</v>
      </c>
      <c r="F201" s="7">
        <f t="array" ref="F201">_xlfn.XLOOKUP($K201,
         'Лист2'!$G$2:$G$505,
         'Лист2'!$D$2:$D$505,
         "не найдено")</f>
        <v>2335</v>
      </c>
      <c r="G201" s="7">
        <f t="array" ref="G201">_xlfn.XLOOKUP($K201,
         'Лист2'!$G$2:$G$505,
         'Лист2'!$D$2:$D$505,
         "не найдено")</f>
        <v>2335</v>
      </c>
      <c r="H201" s="8">
        <f t="shared" si="1"/>
        <v>181447.3571</v>
      </c>
      <c r="I201" s="8">
        <f t="shared" si="2"/>
        <v>21</v>
      </c>
      <c r="K201" s="8" t="str">
        <f t="shared" si="3"/>
        <v>43972|Казань</v>
      </c>
    </row>
    <row r="202" ht="14.25" customHeight="1">
      <c r="A202" s="5">
        <v>43971.0</v>
      </c>
      <c r="B202" s="6" t="s">
        <v>19</v>
      </c>
      <c r="C202" s="6">
        <v>41391.0</v>
      </c>
      <c r="D202" s="6">
        <v>3918987.0</v>
      </c>
      <c r="E202" s="7">
        <f t="array" ref="E202">_xlfn.XLOOKUP($K202,
         'Лист2'!$G$2:$G$505,
         'Лист2'!$C$2:$C$505,
         "не найдено")</f>
        <v>21</v>
      </c>
      <c r="F202" s="7">
        <f t="array" ref="F202">_xlfn.XLOOKUP($K202,
         'Лист2'!$G$2:$G$505,
         'Лист2'!$D$2:$D$505,
         "не найдено")</f>
        <v>2410</v>
      </c>
      <c r="G202" s="7">
        <f t="array" ref="G202">_xlfn.XLOOKUP($K202,
         'Лист2'!$G$2:$G$505,
         'Лист2'!$D$2:$D$505,
         "не найдено")</f>
        <v>2410</v>
      </c>
      <c r="H202" s="8">
        <f t="shared" si="1"/>
        <v>186618.4286</v>
      </c>
      <c r="I202" s="8">
        <f t="shared" si="2"/>
        <v>21</v>
      </c>
      <c r="K202" s="8" t="str">
        <f t="shared" si="3"/>
        <v>43971|Казань</v>
      </c>
    </row>
    <row r="203" ht="14.25" customHeight="1">
      <c r="A203" s="10">
        <v>43956.0</v>
      </c>
      <c r="B203" s="11" t="s">
        <v>19</v>
      </c>
      <c r="C203" s="11">
        <v>29482.5</v>
      </c>
      <c r="D203" s="11">
        <v>2648688.0</v>
      </c>
      <c r="E203" s="7">
        <f t="array" ref="E203">_xlfn.XLOOKUP($K203,
         'Лист2'!$G$2:$G$505,
         'Лист2'!$C$2:$C$505,
         "не найдено")</f>
        <v>20</v>
      </c>
      <c r="F203" s="7">
        <f t="array" ref="F203">_xlfn.XLOOKUP($K203,
         'Лист2'!$G$2:$G$505,
         'Лист2'!$D$2:$D$505,
         "не найдено")</f>
        <v>1757</v>
      </c>
      <c r="G203" s="7">
        <f t="array" ref="G203">_xlfn.XLOOKUP($K203,
         'Лист2'!$G$2:$G$505,
         'Лист2'!$D$2:$D$505,
         "не найдено")</f>
        <v>1757</v>
      </c>
      <c r="H203" s="8">
        <f t="shared" si="1"/>
        <v>132434.4</v>
      </c>
      <c r="I203" s="8">
        <f t="shared" si="2"/>
        <v>19</v>
      </c>
      <c r="K203" s="8" t="str">
        <f t="shared" si="3"/>
        <v>43956|Казань</v>
      </c>
    </row>
    <row r="204" ht="14.25" customHeight="1">
      <c r="A204" s="5">
        <v>43949.0</v>
      </c>
      <c r="B204" s="6" t="s">
        <v>19</v>
      </c>
      <c r="C204" s="6">
        <v>32181.0</v>
      </c>
      <c r="D204" s="6">
        <v>2863600.5</v>
      </c>
      <c r="E204" s="7">
        <f t="array" ref="E204">_xlfn.XLOOKUP($K204,
         'Лист2'!$G$2:$G$505,
         'Лист2'!$C$2:$C$505,
         "не найдено")</f>
        <v>19</v>
      </c>
      <c r="F204" s="7">
        <f t="array" ref="F204">_xlfn.XLOOKUP($K204,
         'Лист2'!$G$2:$G$505,
         'Лист2'!$D$2:$D$505,
         "не найдено")</f>
        <v>1846</v>
      </c>
      <c r="G204" s="7">
        <f t="array" ref="G204">_xlfn.XLOOKUP($K204,
         'Лист2'!$G$2:$G$505,
         'Лист2'!$D$2:$D$505,
         "не найдено")</f>
        <v>1846</v>
      </c>
      <c r="H204" s="8">
        <f t="shared" si="1"/>
        <v>150715.8158</v>
      </c>
      <c r="I204" s="8">
        <f t="shared" si="2"/>
        <v>18</v>
      </c>
      <c r="K204" s="8" t="str">
        <f t="shared" si="3"/>
        <v>43949|Казань</v>
      </c>
    </row>
    <row r="205" ht="14.25" customHeight="1">
      <c r="A205" s="10">
        <v>43964.0</v>
      </c>
      <c r="B205" s="11" t="s">
        <v>19</v>
      </c>
      <c r="C205" s="11">
        <v>35535.0</v>
      </c>
      <c r="D205" s="11">
        <v>3288069.0</v>
      </c>
      <c r="E205" s="7">
        <f t="array" ref="E205">_xlfn.XLOOKUP($K205,
         'Лист2'!$G$2:$G$505,
         'Лист2'!$C$2:$C$505,
         "не найдено")</f>
        <v>21</v>
      </c>
      <c r="F205" s="7">
        <f t="array" ref="F205">_xlfn.XLOOKUP($K205,
         'Лист2'!$G$2:$G$505,
         'Лист2'!$D$2:$D$505,
         "не найдено")</f>
        <v>2061</v>
      </c>
      <c r="G205" s="7">
        <f t="array" ref="G205">_xlfn.XLOOKUP($K205,
         'Лист2'!$G$2:$G$505,
         'Лист2'!$D$2:$D$505,
         "не найдено")</f>
        <v>2061</v>
      </c>
      <c r="H205" s="8">
        <f t="shared" si="1"/>
        <v>156574.7143</v>
      </c>
      <c r="I205" s="8">
        <f t="shared" si="2"/>
        <v>20</v>
      </c>
      <c r="K205" s="8" t="str">
        <f t="shared" si="3"/>
        <v>43964|Казань</v>
      </c>
    </row>
    <row r="206" ht="14.25" customHeight="1">
      <c r="A206" s="5">
        <v>43982.0</v>
      </c>
      <c r="B206" s="6" t="s">
        <v>20</v>
      </c>
      <c r="C206" s="6">
        <v>76234.5</v>
      </c>
      <c r="D206" s="6">
        <v>6500848.5</v>
      </c>
      <c r="E206" s="7">
        <f t="array" ref="E206">_xlfn.XLOOKUP($K206,
         'Лист2'!$G$2:$G$505,
         'Лист2'!$C$2:$C$505,
         "не найдено")</f>
        <v>37</v>
      </c>
      <c r="F206" s="7">
        <f t="array" ref="F206">_xlfn.XLOOKUP($K206,
         'Лист2'!$G$2:$G$505,
         'Лист2'!$D$2:$D$505,
         "не найдено")</f>
        <v>5215</v>
      </c>
      <c r="G206" s="7">
        <f t="array" ref="G206">_xlfn.XLOOKUP($K206,
         'Лист2'!$G$2:$G$505,
         'Лист2'!$D$2:$D$505,
         "не найдено")</f>
        <v>5215</v>
      </c>
      <c r="H206" s="8">
        <f t="shared" si="1"/>
        <v>175698.6081</v>
      </c>
      <c r="I206" s="8">
        <f t="shared" si="2"/>
        <v>22</v>
      </c>
      <c r="K206" s="8" t="str">
        <f t="shared" si="3"/>
        <v>43982|Волгоград</v>
      </c>
    </row>
    <row r="207" ht="14.25" customHeight="1">
      <c r="A207" s="10">
        <v>43954.0</v>
      </c>
      <c r="B207" s="11" t="s">
        <v>19</v>
      </c>
      <c r="C207" s="11">
        <v>29935.5</v>
      </c>
      <c r="D207" s="11">
        <v>2720002.5</v>
      </c>
      <c r="E207" s="7">
        <f t="array" ref="E207">_xlfn.XLOOKUP($K207,
         'Лист2'!$G$2:$G$505,
         'Лист2'!$C$2:$C$505,
         "не найдено")</f>
        <v>20</v>
      </c>
      <c r="F207" s="7">
        <f t="array" ref="F207">_xlfn.XLOOKUP($K207,
         'Лист2'!$G$2:$G$505,
         'Лист2'!$D$2:$D$505,
         "не найдено")</f>
        <v>1716</v>
      </c>
      <c r="G207" s="7">
        <f t="array" ref="G207">_xlfn.XLOOKUP($K207,
         'Лист2'!$G$2:$G$505,
         'Лист2'!$D$2:$D$505,
         "не найдено")</f>
        <v>1716</v>
      </c>
      <c r="H207" s="8">
        <f t="shared" si="1"/>
        <v>136000.125</v>
      </c>
      <c r="I207" s="8">
        <f t="shared" si="2"/>
        <v>18</v>
      </c>
      <c r="K207" s="8" t="str">
        <f t="shared" si="3"/>
        <v>43954|Казань</v>
      </c>
    </row>
    <row r="208" ht="14.25" customHeight="1">
      <c r="A208" s="5">
        <v>43981.0</v>
      </c>
      <c r="B208" s="6" t="s">
        <v>20</v>
      </c>
      <c r="C208" s="6">
        <v>106926.0</v>
      </c>
      <c r="D208" s="6">
        <v>9098386.5</v>
      </c>
      <c r="E208" s="7">
        <f t="array" ref="E208">_xlfn.XLOOKUP($K208,
         'Лист2'!$G$2:$G$505,
         'Лист2'!$C$2:$C$505,
         "не найдено")</f>
        <v>37</v>
      </c>
      <c r="F208" s="7">
        <f t="array" ref="F208">_xlfn.XLOOKUP($K208,
         'Лист2'!$G$2:$G$505,
         'Лист2'!$D$2:$D$505,
         "не найдено")</f>
        <v>6645</v>
      </c>
      <c r="G208" s="7">
        <f t="array" ref="G208">_xlfn.XLOOKUP($K208,
         'Лист2'!$G$2:$G$505,
         'Лист2'!$D$2:$D$505,
         "не найдено")</f>
        <v>6645</v>
      </c>
      <c r="H208" s="8">
        <f t="shared" si="1"/>
        <v>245902.3378</v>
      </c>
      <c r="I208" s="8">
        <f t="shared" si="2"/>
        <v>22</v>
      </c>
      <c r="K208" s="8" t="str">
        <f t="shared" si="3"/>
        <v>43981|Волгоград</v>
      </c>
    </row>
    <row r="209" ht="14.25" customHeight="1">
      <c r="A209" s="10">
        <v>43957.0</v>
      </c>
      <c r="B209" s="11" t="s">
        <v>19</v>
      </c>
      <c r="C209" s="11">
        <v>30342.0</v>
      </c>
      <c r="D209" s="11">
        <v>2738127.0</v>
      </c>
      <c r="E209" s="7">
        <f t="array" ref="E209">_xlfn.XLOOKUP($K209,
         'Лист2'!$G$2:$G$505,
         'Лист2'!$C$2:$C$505,
         "не найдено")</f>
        <v>20</v>
      </c>
      <c r="F209" s="7">
        <f t="array" ref="F209">_xlfn.XLOOKUP($K209,
         'Лист2'!$G$2:$G$505,
         'Лист2'!$D$2:$D$505,
         "не найдено")</f>
        <v>1747</v>
      </c>
      <c r="G209" s="7">
        <f t="array" ref="G209">_xlfn.XLOOKUP($K209,
         'Лист2'!$G$2:$G$505,
         'Лист2'!$D$2:$D$505,
         "не найдено")</f>
        <v>1747</v>
      </c>
      <c r="H209" s="8">
        <f t="shared" si="1"/>
        <v>136906.35</v>
      </c>
      <c r="I209" s="8">
        <f t="shared" si="2"/>
        <v>19</v>
      </c>
      <c r="K209" s="8" t="str">
        <f t="shared" si="3"/>
        <v>43957|Казань</v>
      </c>
    </row>
    <row r="210" ht="14.25" customHeight="1">
      <c r="A210" s="5">
        <v>43974.0</v>
      </c>
      <c r="B210" s="6" t="s">
        <v>19</v>
      </c>
      <c r="C210" s="6">
        <v>42999.0</v>
      </c>
      <c r="D210" s="6">
        <v>3883215.0</v>
      </c>
      <c r="E210" s="7">
        <f t="array" ref="E210">_xlfn.XLOOKUP($K210,
         'Лист2'!$G$2:$G$505,
         'Лист2'!$C$2:$C$505,
         "не найдено")</f>
        <v>21</v>
      </c>
      <c r="F210" s="7">
        <f t="array" ref="F210">_xlfn.XLOOKUP($K210,
         'Лист2'!$G$2:$G$505,
         'Лист2'!$D$2:$D$505,
         "не найдено")</f>
        <v>2460</v>
      </c>
      <c r="G210" s="7">
        <f t="array" ref="G210">_xlfn.XLOOKUP($K210,
         'Лист2'!$G$2:$G$505,
         'Лист2'!$D$2:$D$505,
         "не найдено")</f>
        <v>2460</v>
      </c>
      <c r="H210" s="8">
        <f t="shared" si="1"/>
        <v>184915</v>
      </c>
      <c r="I210" s="8">
        <f t="shared" si="2"/>
        <v>21</v>
      </c>
      <c r="K210" s="8" t="str">
        <f t="shared" si="3"/>
        <v>43974|Казань</v>
      </c>
    </row>
    <row r="211" ht="14.25" customHeight="1">
      <c r="A211" s="10">
        <v>43979.0</v>
      </c>
      <c r="B211" s="11" t="s">
        <v>20</v>
      </c>
      <c r="C211" s="11">
        <v>69945.0</v>
      </c>
      <c r="D211" s="11">
        <v>6101931.0</v>
      </c>
      <c r="E211" s="7">
        <f t="array" ref="E211">_xlfn.XLOOKUP($K211,
         'Лист2'!$G$2:$G$505,
         'Лист2'!$C$2:$C$505,
         "не найдено")</f>
        <v>37</v>
      </c>
      <c r="F211" s="7">
        <f t="array" ref="F211">_xlfn.XLOOKUP($K211,
         'Лист2'!$G$2:$G$505,
         'Лист2'!$D$2:$D$505,
         "не найдено")</f>
        <v>4840</v>
      </c>
      <c r="G211" s="7">
        <f t="array" ref="G211">_xlfn.XLOOKUP($K211,
         'Лист2'!$G$2:$G$505,
         'Лист2'!$D$2:$D$505,
         "не найдено")</f>
        <v>4840</v>
      </c>
      <c r="H211" s="8">
        <f t="shared" si="1"/>
        <v>164917.0541</v>
      </c>
      <c r="I211" s="8">
        <f t="shared" si="2"/>
        <v>22</v>
      </c>
      <c r="K211" s="8" t="str">
        <f t="shared" si="3"/>
        <v>43979|Волгоград</v>
      </c>
    </row>
    <row r="212" ht="14.25" customHeight="1">
      <c r="A212" s="5">
        <v>43976.0</v>
      </c>
      <c r="B212" s="6" t="s">
        <v>19</v>
      </c>
      <c r="C212" s="6">
        <v>38740.5</v>
      </c>
      <c r="D212" s="6">
        <v>3561655.5</v>
      </c>
      <c r="E212" s="7">
        <f t="array" ref="E212">_xlfn.XLOOKUP($K212,
         'Лист2'!$G$2:$G$505,
         'Лист2'!$C$2:$C$505,
         "не найдено")</f>
        <v>21</v>
      </c>
      <c r="F212" s="7">
        <f t="array" ref="F212">_xlfn.XLOOKUP($K212,
         'Лист2'!$G$2:$G$505,
         'Лист2'!$D$2:$D$505,
         "не найдено")</f>
        <v>2330</v>
      </c>
      <c r="G212" s="7">
        <f t="array" ref="G212">_xlfn.XLOOKUP($K212,
         'Лист2'!$G$2:$G$505,
         'Лист2'!$D$2:$D$505,
         "не найдено")</f>
        <v>2330</v>
      </c>
      <c r="H212" s="8">
        <f t="shared" si="1"/>
        <v>169602.6429</v>
      </c>
      <c r="I212" s="8">
        <f t="shared" si="2"/>
        <v>22</v>
      </c>
      <c r="K212" s="8" t="str">
        <f t="shared" si="3"/>
        <v>43976|Казань</v>
      </c>
    </row>
    <row r="213" ht="14.25" customHeight="1">
      <c r="A213" s="10">
        <v>43951.0</v>
      </c>
      <c r="B213" s="11" t="s">
        <v>19</v>
      </c>
      <c r="C213" s="11">
        <v>31231.5</v>
      </c>
      <c r="D213" s="11">
        <v>2853310.5</v>
      </c>
      <c r="E213" s="7">
        <f t="array" ref="E213">_xlfn.XLOOKUP($K213,
         'Лист2'!$G$2:$G$505,
         'Лист2'!$C$2:$C$505,
         "не найдено")</f>
        <v>20</v>
      </c>
      <c r="F213" s="7">
        <f t="array" ref="F213">_xlfn.XLOOKUP($K213,
         'Лист2'!$G$2:$G$505,
         'Лист2'!$D$2:$D$505,
         "не найдено")</f>
        <v>1756</v>
      </c>
      <c r="G213" s="7">
        <f t="array" ref="G213">_xlfn.XLOOKUP($K213,
         'Лист2'!$G$2:$G$505,
         'Лист2'!$D$2:$D$505,
         "не найдено")</f>
        <v>1756</v>
      </c>
      <c r="H213" s="8">
        <f t="shared" si="1"/>
        <v>142665.525</v>
      </c>
      <c r="I213" s="8">
        <f t="shared" si="2"/>
        <v>18</v>
      </c>
      <c r="K213" s="8" t="str">
        <f t="shared" si="3"/>
        <v>43951|Казань</v>
      </c>
    </row>
    <row r="214" ht="14.25" customHeight="1">
      <c r="A214" s="5">
        <v>43961.0</v>
      </c>
      <c r="B214" s="6" t="s">
        <v>19</v>
      </c>
      <c r="C214" s="6">
        <v>37489.5</v>
      </c>
      <c r="D214" s="6">
        <v>3549097.5</v>
      </c>
      <c r="E214" s="7">
        <f t="array" ref="E214">_xlfn.XLOOKUP($K214,
         'Лист2'!$G$2:$G$505,
         'Лист2'!$C$2:$C$505,
         "не найдено")</f>
        <v>21</v>
      </c>
      <c r="F214" s="7">
        <f t="array" ref="F214">_xlfn.XLOOKUP($K214,
         'Лист2'!$G$2:$G$505,
         'Лист2'!$D$2:$D$505,
         "не найдено")</f>
        <v>2120</v>
      </c>
      <c r="G214" s="7">
        <f t="array" ref="G214">_xlfn.XLOOKUP($K214,
         'Лист2'!$G$2:$G$505,
         'Лист2'!$D$2:$D$505,
         "не найдено")</f>
        <v>2120</v>
      </c>
      <c r="H214" s="8">
        <f t="shared" si="1"/>
        <v>169004.6429</v>
      </c>
      <c r="I214" s="8">
        <f t="shared" si="2"/>
        <v>19</v>
      </c>
      <c r="K214" s="8" t="str">
        <f t="shared" si="3"/>
        <v>43961|Казань</v>
      </c>
    </row>
    <row r="215" ht="14.25" customHeight="1">
      <c r="A215" s="10">
        <v>43959.0</v>
      </c>
      <c r="B215" s="11" t="s">
        <v>19</v>
      </c>
      <c r="C215" s="11">
        <v>34399.5</v>
      </c>
      <c r="D215" s="11">
        <v>3201358.5</v>
      </c>
      <c r="E215" s="7">
        <f t="array" ref="E215">_xlfn.XLOOKUP($K215,
         'Лист2'!$G$2:$G$505,
         'Лист2'!$C$2:$C$505,
         "не найдено")</f>
        <v>21</v>
      </c>
      <c r="F215" s="7">
        <f t="array" ref="F215">_xlfn.XLOOKUP($K215,
         'Лист2'!$G$2:$G$505,
         'Лист2'!$D$2:$D$505,
         "не найдено")</f>
        <v>1957</v>
      </c>
      <c r="G215" s="7">
        <f t="array" ref="G215">_xlfn.XLOOKUP($K215,
         'Лист2'!$G$2:$G$505,
         'Лист2'!$D$2:$D$505,
         "не найдено")</f>
        <v>1957</v>
      </c>
      <c r="H215" s="8">
        <f t="shared" si="1"/>
        <v>152445.6429</v>
      </c>
      <c r="I215" s="8">
        <f t="shared" si="2"/>
        <v>19</v>
      </c>
      <c r="K215" s="8" t="str">
        <f t="shared" si="3"/>
        <v>43959|Казань</v>
      </c>
    </row>
    <row r="216" ht="14.25" customHeight="1">
      <c r="A216" s="5">
        <v>43958.0</v>
      </c>
      <c r="B216" s="6" t="s">
        <v>19</v>
      </c>
      <c r="C216" s="6">
        <v>32851.5</v>
      </c>
      <c r="D216" s="6">
        <v>2934504.0</v>
      </c>
      <c r="E216" s="7">
        <f t="array" ref="E216">_xlfn.XLOOKUP($K216,
         'Лист2'!$G$2:$G$505,
         'Лист2'!$C$2:$C$505,
         "не найдено")</f>
        <v>21</v>
      </c>
      <c r="F216" s="7">
        <f t="array" ref="F216">_xlfn.XLOOKUP($K216,
         'Лист2'!$G$2:$G$505,
         'Лист2'!$D$2:$D$505,
         "не найдено")</f>
        <v>1879</v>
      </c>
      <c r="G216" s="7">
        <f t="array" ref="G216">_xlfn.XLOOKUP($K216,
         'Лист2'!$G$2:$G$505,
         'Лист2'!$D$2:$D$505,
         "не найдено")</f>
        <v>1879</v>
      </c>
      <c r="H216" s="8">
        <f t="shared" si="1"/>
        <v>139738.2857</v>
      </c>
      <c r="I216" s="8">
        <f t="shared" si="2"/>
        <v>19</v>
      </c>
      <c r="K216" s="8" t="str">
        <f t="shared" si="3"/>
        <v>43958|Казань</v>
      </c>
    </row>
    <row r="217" ht="14.25" customHeight="1">
      <c r="A217" s="10">
        <v>43975.0</v>
      </c>
      <c r="B217" s="11" t="s">
        <v>19</v>
      </c>
      <c r="C217" s="11">
        <v>38194.5</v>
      </c>
      <c r="D217" s="11">
        <v>3449302.5</v>
      </c>
      <c r="E217" s="7">
        <f t="array" ref="E217">_xlfn.XLOOKUP($K217,
         'Лист2'!$G$2:$G$505,
         'Лист2'!$C$2:$C$505,
         "не найдено")</f>
        <v>21</v>
      </c>
      <c r="F217" s="7">
        <f t="array" ref="F217">_xlfn.XLOOKUP($K217,
         'Лист2'!$G$2:$G$505,
         'Лист2'!$D$2:$D$505,
         "не найдено")</f>
        <v>2254</v>
      </c>
      <c r="G217" s="7">
        <f t="array" ref="G217">_xlfn.XLOOKUP($K217,
         'Лист2'!$G$2:$G$505,
         'Лист2'!$D$2:$D$505,
         "не найдено")</f>
        <v>2254</v>
      </c>
      <c r="H217" s="8">
        <f t="shared" si="1"/>
        <v>164252.5</v>
      </c>
      <c r="I217" s="8">
        <f t="shared" si="2"/>
        <v>21</v>
      </c>
      <c r="K217" s="8" t="str">
        <f t="shared" si="3"/>
        <v>43975|Казань</v>
      </c>
    </row>
    <row r="218" ht="14.25" customHeight="1">
      <c r="A218" s="5">
        <v>43982.0</v>
      </c>
      <c r="B218" s="6" t="s">
        <v>19</v>
      </c>
      <c r="C218" s="6">
        <v>42423.0</v>
      </c>
      <c r="D218" s="6">
        <v>3994153.5</v>
      </c>
      <c r="E218" s="7">
        <f t="array" ref="E218">_xlfn.XLOOKUP($K218,
         'Лист2'!$G$2:$G$505,
         'Лист2'!$C$2:$C$505,
         "не найдено")</f>
        <v>23</v>
      </c>
      <c r="F218" s="7">
        <f t="array" ref="F218">_xlfn.XLOOKUP($K218,
         'Лист2'!$G$2:$G$505,
         'Лист2'!$D$2:$D$505,
         "не найдено")</f>
        <v>2522</v>
      </c>
      <c r="G218" s="7">
        <f t="array" ref="G218">_xlfn.XLOOKUP($K218,
         'Лист2'!$G$2:$G$505,
         'Лист2'!$D$2:$D$505,
         "не найдено")</f>
        <v>2522</v>
      </c>
      <c r="H218" s="8">
        <f t="shared" si="1"/>
        <v>173658.8478</v>
      </c>
      <c r="I218" s="8">
        <f t="shared" si="2"/>
        <v>22</v>
      </c>
      <c r="K218" s="8" t="str">
        <f t="shared" si="3"/>
        <v>43982|Казань</v>
      </c>
    </row>
    <row r="219" ht="14.25" customHeight="1">
      <c r="A219" s="10">
        <v>43981.0</v>
      </c>
      <c r="B219" s="11" t="s">
        <v>19</v>
      </c>
      <c r="C219" s="11">
        <v>48286.5</v>
      </c>
      <c r="D219" s="11">
        <v>4456441.5</v>
      </c>
      <c r="E219" s="7">
        <f t="array" ref="E219">_xlfn.XLOOKUP($K219,
         'Лист2'!$G$2:$G$505,
         'Лист2'!$C$2:$C$505,
         "не найдено")</f>
        <v>22</v>
      </c>
      <c r="F219" s="7">
        <f t="array" ref="F219">_xlfn.XLOOKUP($K219,
         'Лист2'!$G$2:$G$505,
         'Лист2'!$D$2:$D$505,
         "не найдено")</f>
        <v>2793</v>
      </c>
      <c r="G219" s="7">
        <f t="array" ref="G219">_xlfn.XLOOKUP($K219,
         'Лист2'!$G$2:$G$505,
         'Лист2'!$D$2:$D$505,
         "не найдено")</f>
        <v>2793</v>
      </c>
      <c r="H219" s="8">
        <f t="shared" si="1"/>
        <v>202565.5227</v>
      </c>
      <c r="I219" s="8">
        <f t="shared" si="2"/>
        <v>22</v>
      </c>
      <c r="K219" s="8" t="str">
        <f t="shared" si="3"/>
        <v>43981|Казань</v>
      </c>
    </row>
    <row r="220" ht="14.25" customHeight="1">
      <c r="A220" s="5">
        <v>43979.0</v>
      </c>
      <c r="B220" s="6" t="s">
        <v>19</v>
      </c>
      <c r="C220" s="6">
        <v>41442.0</v>
      </c>
      <c r="D220" s="6">
        <v>3893680.5</v>
      </c>
      <c r="E220" s="7">
        <f t="array" ref="E220">_xlfn.XLOOKUP($K220,
         'Лист2'!$G$2:$G$505,
         'Лист2'!$C$2:$C$505,
         "не найдено")</f>
        <v>22</v>
      </c>
      <c r="F220" s="7">
        <f t="array" ref="F220">_xlfn.XLOOKUP($K220,
         'Лист2'!$G$2:$G$505,
         'Лист2'!$D$2:$D$505,
         "не найдено")</f>
        <v>2454</v>
      </c>
      <c r="G220" s="7">
        <f t="array" ref="G220">_xlfn.XLOOKUP($K220,
         'Лист2'!$G$2:$G$505,
         'Лист2'!$D$2:$D$505,
         "не найдено")</f>
        <v>2454</v>
      </c>
      <c r="H220" s="8">
        <f t="shared" si="1"/>
        <v>176985.4773</v>
      </c>
      <c r="I220" s="8">
        <f t="shared" si="2"/>
        <v>22</v>
      </c>
      <c r="K220" s="8" t="str">
        <f t="shared" si="3"/>
        <v>43979|Казань</v>
      </c>
    </row>
    <row r="221" ht="14.25" customHeight="1">
      <c r="A221" s="10">
        <v>43967.0</v>
      </c>
      <c r="B221" s="11" t="s">
        <v>26</v>
      </c>
      <c r="C221" s="11">
        <v>18600.0</v>
      </c>
      <c r="D221" s="11">
        <v>1601425.5</v>
      </c>
      <c r="E221" s="7">
        <f t="array" ref="E221">_xlfn.XLOOKUP($K221,
         'Лист2'!$G$2:$G$505,
         'Лист2'!$C$2:$C$505,
         "не найдено")</f>
        <v>15</v>
      </c>
      <c r="F221" s="7">
        <f t="array" ref="F221">_xlfn.XLOOKUP($K221,
         'Лист2'!$G$2:$G$505,
         'Лист2'!$D$2:$D$505,
         "не найдено")</f>
        <v>1111</v>
      </c>
      <c r="G221" s="7">
        <f t="array" ref="G221">_xlfn.XLOOKUP($K221,
         'Лист2'!$G$2:$G$505,
         'Лист2'!$D$2:$D$505,
         "не найдено")</f>
        <v>1111</v>
      </c>
      <c r="H221" s="8">
        <f t="shared" si="1"/>
        <v>106761.7</v>
      </c>
      <c r="I221" s="8">
        <f t="shared" si="2"/>
        <v>20</v>
      </c>
      <c r="K221" s="8" t="str">
        <f t="shared" si="3"/>
        <v>43967|Пермь</v>
      </c>
    </row>
    <row r="222" ht="14.25" customHeight="1">
      <c r="A222" s="5">
        <v>43970.0</v>
      </c>
      <c r="B222" s="6" t="s">
        <v>26</v>
      </c>
      <c r="C222" s="6">
        <v>16638.0</v>
      </c>
      <c r="D222" s="6">
        <v>1364847.0</v>
      </c>
      <c r="E222" s="7">
        <f t="array" ref="E222">_xlfn.XLOOKUP($K222,
         'Лист2'!$G$2:$G$505,
         'Лист2'!$C$2:$C$505,
         "не найдено")</f>
        <v>16</v>
      </c>
      <c r="F222" s="7">
        <f t="array" ref="F222">_xlfn.XLOOKUP($K222,
         'Лист2'!$G$2:$G$505,
         'Лист2'!$D$2:$D$505,
         "не найдено")</f>
        <v>1012</v>
      </c>
      <c r="G222" s="7">
        <f t="array" ref="G222">_xlfn.XLOOKUP($K222,
         'Лист2'!$G$2:$G$505,
         'Лист2'!$D$2:$D$505,
         "не найдено")</f>
        <v>1012</v>
      </c>
      <c r="H222" s="8">
        <f t="shared" si="1"/>
        <v>85302.9375</v>
      </c>
      <c r="I222" s="8">
        <f t="shared" si="2"/>
        <v>21</v>
      </c>
      <c r="K222" s="8" t="str">
        <f t="shared" si="3"/>
        <v>43970|Пермь</v>
      </c>
    </row>
    <row r="223" ht="14.25" customHeight="1">
      <c r="A223" s="10">
        <v>43968.0</v>
      </c>
      <c r="B223" s="11" t="s">
        <v>26</v>
      </c>
      <c r="C223" s="11">
        <v>15609.0</v>
      </c>
      <c r="D223" s="11">
        <v>1377577.5</v>
      </c>
      <c r="E223" s="7">
        <f t="array" ref="E223">_xlfn.XLOOKUP($K223,
         'Лист2'!$G$2:$G$505,
         'Лист2'!$C$2:$C$505,
         "не найдено")</f>
        <v>15</v>
      </c>
      <c r="F223" s="7">
        <f t="array" ref="F223">_xlfn.XLOOKUP($K223,
         'Лист2'!$G$2:$G$505,
         'Лист2'!$D$2:$D$505,
         "не найдено")</f>
        <v>971</v>
      </c>
      <c r="G223" s="7">
        <f t="array" ref="G223">_xlfn.XLOOKUP($K223,
         'Лист2'!$G$2:$G$505,
         'Лист2'!$D$2:$D$505,
         "не найдено")</f>
        <v>971</v>
      </c>
      <c r="H223" s="8">
        <f t="shared" si="1"/>
        <v>91838.5</v>
      </c>
      <c r="I223" s="8">
        <f t="shared" si="2"/>
        <v>20</v>
      </c>
      <c r="K223" s="8" t="str">
        <f t="shared" si="3"/>
        <v>43968|Пермь</v>
      </c>
    </row>
    <row r="224" ht="14.25" customHeight="1">
      <c r="A224" s="5">
        <v>43960.0</v>
      </c>
      <c r="B224" s="6" t="s">
        <v>26</v>
      </c>
      <c r="C224" s="6">
        <v>13948.5</v>
      </c>
      <c r="D224" s="6">
        <v>1222932.0</v>
      </c>
      <c r="E224" s="7">
        <f t="array" ref="E224">_xlfn.XLOOKUP($K224,
         'Лист2'!$G$2:$G$505,
         'Лист2'!$C$2:$C$505,
         "не найдено")</f>
        <v>15</v>
      </c>
      <c r="F224" s="7">
        <f t="array" ref="F224">_xlfn.XLOOKUP($K224,
         'Лист2'!$G$2:$G$505,
         'Лист2'!$D$2:$D$505,
         "не найдено")</f>
        <v>849</v>
      </c>
      <c r="G224" s="7">
        <f t="array" ref="G224">_xlfn.XLOOKUP($K224,
         'Лист2'!$G$2:$G$505,
         'Лист2'!$D$2:$D$505,
         "не найдено")</f>
        <v>849</v>
      </c>
      <c r="H224" s="8">
        <f t="shared" si="1"/>
        <v>81528.8</v>
      </c>
      <c r="I224" s="8">
        <f t="shared" si="2"/>
        <v>19</v>
      </c>
      <c r="K224" s="8" t="str">
        <f t="shared" si="3"/>
        <v>43960|Пермь</v>
      </c>
    </row>
    <row r="225" ht="14.25" customHeight="1">
      <c r="A225" s="10">
        <v>43955.0</v>
      </c>
      <c r="B225" s="11" t="s">
        <v>26</v>
      </c>
      <c r="C225" s="11">
        <v>12301.5</v>
      </c>
      <c r="D225" s="11">
        <v>1085211.0</v>
      </c>
      <c r="E225" s="7">
        <f t="array" ref="E225">_xlfn.XLOOKUP($K225,
         'Лист2'!$G$2:$G$505,
         'Лист2'!$C$2:$C$505,
         "не найдено")</f>
        <v>15</v>
      </c>
      <c r="F225" s="7">
        <f t="array" ref="F225">_xlfn.XLOOKUP($K225,
         'Лист2'!$G$2:$G$505,
         'Лист2'!$D$2:$D$505,
         "не найдено")</f>
        <v>750</v>
      </c>
      <c r="G225" s="7">
        <f t="array" ref="G225">_xlfn.XLOOKUP($K225,
         'Лист2'!$G$2:$G$505,
         'Лист2'!$D$2:$D$505,
         "не найдено")</f>
        <v>750</v>
      </c>
      <c r="H225" s="8">
        <f t="shared" si="1"/>
        <v>72347.4</v>
      </c>
      <c r="I225" s="8">
        <f t="shared" si="2"/>
        <v>19</v>
      </c>
      <c r="K225" s="8" t="str">
        <f t="shared" si="3"/>
        <v>43955|Пермь</v>
      </c>
    </row>
    <row r="226" ht="14.25" customHeight="1">
      <c r="A226" s="5">
        <v>43950.0</v>
      </c>
      <c r="B226" s="6" t="s">
        <v>26</v>
      </c>
      <c r="C226" s="6">
        <v>13014.0</v>
      </c>
      <c r="D226" s="6">
        <v>1115992.5</v>
      </c>
      <c r="E226" s="7">
        <f t="array" ref="E226">_xlfn.XLOOKUP($K226,
         'Лист2'!$G$2:$G$505,
         'Лист2'!$C$2:$C$505,
         "не найдено")</f>
        <v>15</v>
      </c>
      <c r="F226" s="7">
        <f t="array" ref="F226">_xlfn.XLOOKUP($K226,
         'Лист2'!$G$2:$G$505,
         'Лист2'!$D$2:$D$505,
         "не найдено")</f>
        <v>786</v>
      </c>
      <c r="G226" s="7">
        <f t="array" ref="G226">_xlfn.XLOOKUP($K226,
         'Лист2'!$G$2:$G$505,
         'Лист2'!$D$2:$D$505,
         "не найдено")</f>
        <v>786</v>
      </c>
      <c r="H226" s="8">
        <f t="shared" si="1"/>
        <v>74399.5</v>
      </c>
      <c r="I226" s="8">
        <f t="shared" si="2"/>
        <v>18</v>
      </c>
      <c r="K226" s="8" t="str">
        <f t="shared" si="3"/>
        <v>43950|Пермь</v>
      </c>
    </row>
    <row r="227" ht="14.25" customHeight="1">
      <c r="A227" s="10">
        <v>43953.0</v>
      </c>
      <c r="B227" s="11" t="s">
        <v>26</v>
      </c>
      <c r="C227" s="11">
        <v>12313.5</v>
      </c>
      <c r="D227" s="11">
        <v>1053220.5</v>
      </c>
      <c r="E227" s="7">
        <f t="array" ref="E227">_xlfn.XLOOKUP($K227,
         'Лист2'!$G$2:$G$505,
         'Лист2'!$C$2:$C$505,
         "не найдено")</f>
        <v>15</v>
      </c>
      <c r="F227" s="7">
        <f t="array" ref="F227">_xlfn.XLOOKUP($K227,
         'Лист2'!$G$2:$G$505,
         'Лист2'!$D$2:$D$505,
         "не найдено")</f>
        <v>751</v>
      </c>
      <c r="G227" s="7">
        <f t="array" ref="G227">_xlfn.XLOOKUP($K227,
         'Лист2'!$G$2:$G$505,
         'Лист2'!$D$2:$D$505,
         "не найдено")</f>
        <v>751</v>
      </c>
      <c r="H227" s="8">
        <f t="shared" si="1"/>
        <v>70214.7</v>
      </c>
      <c r="I227" s="8">
        <f t="shared" si="2"/>
        <v>18</v>
      </c>
      <c r="K227" s="8" t="str">
        <f t="shared" si="3"/>
        <v>43953|Пермь</v>
      </c>
    </row>
    <row r="228" ht="14.25" customHeight="1">
      <c r="A228" s="5">
        <v>43977.0</v>
      </c>
      <c r="B228" s="6" t="s">
        <v>26</v>
      </c>
      <c r="C228" s="6">
        <v>17391.0</v>
      </c>
      <c r="D228" s="6">
        <v>1489132.5</v>
      </c>
      <c r="E228" s="7">
        <f t="array" ref="E228">_xlfn.XLOOKUP($K228,
         'Лист2'!$G$2:$G$505,
         'Лист2'!$C$2:$C$505,
         "не найдено")</f>
        <v>17</v>
      </c>
      <c r="F228" s="7">
        <f t="array" ref="F228">_xlfn.XLOOKUP($K228,
         'Лист2'!$G$2:$G$505,
         'Лист2'!$D$2:$D$505,
         "не найдено")</f>
        <v>1140</v>
      </c>
      <c r="G228" s="7">
        <f t="array" ref="G228">_xlfn.XLOOKUP($K228,
         'Лист2'!$G$2:$G$505,
         'Лист2'!$D$2:$D$505,
         "не найдено")</f>
        <v>1140</v>
      </c>
      <c r="H228" s="8">
        <f t="shared" si="1"/>
        <v>87596.02941</v>
      </c>
      <c r="I228" s="8">
        <f t="shared" si="2"/>
        <v>22</v>
      </c>
      <c r="K228" s="8" t="str">
        <f t="shared" si="3"/>
        <v>43977|Пермь</v>
      </c>
    </row>
    <row r="229" ht="14.25" customHeight="1">
      <c r="A229" s="10">
        <v>43952.0</v>
      </c>
      <c r="B229" s="11" t="s">
        <v>26</v>
      </c>
      <c r="C229" s="11">
        <v>17113.5</v>
      </c>
      <c r="D229" s="11">
        <v>1465842.0</v>
      </c>
      <c r="E229" s="7">
        <f t="array" ref="E229">_xlfn.XLOOKUP($K229,
         'Лист2'!$G$2:$G$505,
         'Лист2'!$C$2:$C$505,
         "не найдено")</f>
        <v>15</v>
      </c>
      <c r="F229" s="7">
        <f t="array" ref="F229">_xlfn.XLOOKUP($K229,
         'Лист2'!$G$2:$G$505,
         'Лист2'!$D$2:$D$505,
         "не найдено")</f>
        <v>996</v>
      </c>
      <c r="G229" s="7">
        <f t="array" ref="G229">_xlfn.XLOOKUP($K229,
         'Лист2'!$G$2:$G$505,
         'Лист2'!$D$2:$D$505,
         "не найдено")</f>
        <v>996</v>
      </c>
      <c r="H229" s="8">
        <f t="shared" si="1"/>
        <v>97722.8</v>
      </c>
      <c r="I229" s="8">
        <f t="shared" si="2"/>
        <v>18</v>
      </c>
      <c r="K229" s="8" t="str">
        <f t="shared" si="3"/>
        <v>43952|Пермь</v>
      </c>
    </row>
    <row r="230" ht="14.25" customHeight="1">
      <c r="A230" s="5">
        <v>43963.0</v>
      </c>
      <c r="B230" s="6" t="s">
        <v>26</v>
      </c>
      <c r="C230" s="6">
        <v>12802.5</v>
      </c>
      <c r="D230" s="6">
        <v>1123830.0</v>
      </c>
      <c r="E230" s="7">
        <f t="array" ref="E230">_xlfn.XLOOKUP($K230,
         'Лист2'!$G$2:$G$505,
         'Лист2'!$C$2:$C$505,
         "не найдено")</f>
        <v>15</v>
      </c>
      <c r="F230" s="7">
        <f t="array" ref="F230">_xlfn.XLOOKUP($K230,
         'Лист2'!$G$2:$G$505,
         'Лист2'!$D$2:$D$505,
         "не найдено")</f>
        <v>845</v>
      </c>
      <c r="G230" s="7">
        <f t="array" ref="G230">_xlfn.XLOOKUP($K230,
         'Лист2'!$G$2:$G$505,
         'Лист2'!$D$2:$D$505,
         "не найдено")</f>
        <v>845</v>
      </c>
      <c r="H230" s="8">
        <f t="shared" si="1"/>
        <v>74922</v>
      </c>
      <c r="I230" s="8">
        <f t="shared" si="2"/>
        <v>20</v>
      </c>
      <c r="K230" s="8" t="str">
        <f t="shared" si="3"/>
        <v>43963|Пермь</v>
      </c>
    </row>
    <row r="231" ht="14.25" customHeight="1">
      <c r="A231" s="10">
        <v>43972.0</v>
      </c>
      <c r="B231" s="11" t="s">
        <v>26</v>
      </c>
      <c r="C231" s="11">
        <v>16554.0</v>
      </c>
      <c r="D231" s="11">
        <v>1380751.5</v>
      </c>
      <c r="E231" s="7">
        <f t="array" ref="E231">_xlfn.XLOOKUP($K231,
         'Лист2'!$G$2:$G$505,
         'Лист2'!$C$2:$C$505,
         "не найдено")</f>
        <v>17</v>
      </c>
      <c r="F231" s="7">
        <f t="array" ref="F231">_xlfn.XLOOKUP($K231,
         'Лист2'!$G$2:$G$505,
         'Лист2'!$D$2:$D$505,
         "не найдено")</f>
        <v>1045</v>
      </c>
      <c r="G231" s="7">
        <f t="array" ref="G231">_xlfn.XLOOKUP($K231,
         'Лист2'!$G$2:$G$505,
         'Лист2'!$D$2:$D$505,
         "не найдено")</f>
        <v>1045</v>
      </c>
      <c r="H231" s="8">
        <f t="shared" si="1"/>
        <v>81220.67647</v>
      </c>
      <c r="I231" s="8">
        <f t="shared" si="2"/>
        <v>21</v>
      </c>
      <c r="K231" s="8" t="str">
        <f t="shared" si="3"/>
        <v>43972|Пермь</v>
      </c>
    </row>
    <row r="232" ht="14.25" customHeight="1">
      <c r="A232" s="5">
        <v>43971.0</v>
      </c>
      <c r="B232" s="6" t="s">
        <v>26</v>
      </c>
      <c r="C232" s="6">
        <v>17329.5</v>
      </c>
      <c r="D232" s="6">
        <v>1430254.5</v>
      </c>
      <c r="E232" s="7">
        <f t="array" ref="E232">_xlfn.XLOOKUP($K232,
         'Лист2'!$G$2:$G$505,
         'Лист2'!$C$2:$C$505,
         "не найдено")</f>
        <v>16</v>
      </c>
      <c r="F232" s="7">
        <f t="array" ref="F232">_xlfn.XLOOKUP($K232,
         'Лист2'!$G$2:$G$505,
         'Лист2'!$D$2:$D$505,
         "не найдено")</f>
        <v>1050</v>
      </c>
      <c r="G232" s="7">
        <f t="array" ref="G232">_xlfn.XLOOKUP($K232,
         'Лист2'!$G$2:$G$505,
         'Лист2'!$D$2:$D$505,
         "не найдено")</f>
        <v>1050</v>
      </c>
      <c r="H232" s="8">
        <f t="shared" si="1"/>
        <v>89390.90625</v>
      </c>
      <c r="I232" s="8">
        <f t="shared" si="2"/>
        <v>21</v>
      </c>
      <c r="K232" s="8" t="str">
        <f t="shared" si="3"/>
        <v>43971|Пермь</v>
      </c>
    </row>
    <row r="233" ht="14.25" customHeight="1">
      <c r="A233" s="10">
        <v>43956.0</v>
      </c>
      <c r="B233" s="11" t="s">
        <v>26</v>
      </c>
      <c r="C233" s="11">
        <v>15987.0</v>
      </c>
      <c r="D233" s="11">
        <v>1384179.0</v>
      </c>
      <c r="E233" s="7">
        <f t="array" ref="E233">_xlfn.XLOOKUP($K233,
         'Лист2'!$G$2:$G$505,
         'Лист2'!$C$2:$C$505,
         "не найдено")</f>
        <v>15</v>
      </c>
      <c r="F233" s="7">
        <f t="array" ref="F233">_xlfn.XLOOKUP($K233,
         'Лист2'!$G$2:$G$505,
         'Лист2'!$D$2:$D$505,
         "не найдено")</f>
        <v>922</v>
      </c>
      <c r="G233" s="7">
        <f t="array" ref="G233">_xlfn.XLOOKUP($K233,
         'Лист2'!$G$2:$G$505,
         'Лист2'!$D$2:$D$505,
         "не найдено")</f>
        <v>922</v>
      </c>
      <c r="H233" s="8">
        <f t="shared" si="1"/>
        <v>92278.6</v>
      </c>
      <c r="I233" s="8">
        <f t="shared" si="2"/>
        <v>19</v>
      </c>
      <c r="K233" s="8" t="str">
        <f t="shared" si="3"/>
        <v>43956|Пермь</v>
      </c>
    </row>
    <row r="234" ht="14.25" customHeight="1">
      <c r="A234" s="5">
        <v>43949.0</v>
      </c>
      <c r="B234" s="6" t="s">
        <v>26</v>
      </c>
      <c r="C234" s="6">
        <v>13303.5</v>
      </c>
      <c r="D234" s="6">
        <v>1102887.0</v>
      </c>
      <c r="E234" s="7">
        <f t="array" ref="E234">_xlfn.XLOOKUP($K234,
         'Лист2'!$G$2:$G$505,
         'Лист2'!$C$2:$C$505,
         "не найдено")</f>
        <v>15</v>
      </c>
      <c r="F234" s="7">
        <f t="array" ref="F234">_xlfn.XLOOKUP($K234,
         'Лист2'!$G$2:$G$505,
         'Лист2'!$D$2:$D$505,
         "не найдено")</f>
        <v>780</v>
      </c>
      <c r="G234" s="7">
        <f t="array" ref="G234">_xlfn.XLOOKUP($K234,
         'Лист2'!$G$2:$G$505,
         'Лист2'!$D$2:$D$505,
         "не найдено")</f>
        <v>780</v>
      </c>
      <c r="H234" s="8">
        <f t="shared" si="1"/>
        <v>73525.8</v>
      </c>
      <c r="I234" s="8">
        <f t="shared" si="2"/>
        <v>18</v>
      </c>
      <c r="K234" s="8" t="str">
        <f t="shared" si="3"/>
        <v>43949|Пермь</v>
      </c>
    </row>
    <row r="235" ht="14.25" customHeight="1">
      <c r="A235" s="10">
        <v>43964.0</v>
      </c>
      <c r="B235" s="11" t="s">
        <v>26</v>
      </c>
      <c r="C235" s="11">
        <v>14305.5</v>
      </c>
      <c r="D235" s="11">
        <v>1243507.5</v>
      </c>
      <c r="E235" s="7">
        <f t="array" ref="E235">_xlfn.XLOOKUP($K235,
         'Лист2'!$G$2:$G$505,
         'Лист2'!$C$2:$C$505,
         "не найдено")</f>
        <v>15</v>
      </c>
      <c r="F235" s="7">
        <f t="array" ref="F235">_xlfn.XLOOKUP($K235,
         'Лист2'!$G$2:$G$505,
         'Лист2'!$D$2:$D$505,
         "не найдено")</f>
        <v>898</v>
      </c>
      <c r="G235" s="7">
        <f t="array" ref="G235">_xlfn.XLOOKUP($K235,
         'Лист2'!$G$2:$G$505,
         'Лист2'!$D$2:$D$505,
         "не найдено")</f>
        <v>898</v>
      </c>
      <c r="H235" s="8">
        <f t="shared" si="1"/>
        <v>82900.5</v>
      </c>
      <c r="I235" s="8">
        <f t="shared" si="2"/>
        <v>20</v>
      </c>
      <c r="K235" s="8" t="str">
        <f t="shared" si="3"/>
        <v>43964|Пермь</v>
      </c>
    </row>
    <row r="236" ht="14.25" customHeight="1">
      <c r="A236" s="5">
        <v>43954.0</v>
      </c>
      <c r="B236" s="6" t="s">
        <v>26</v>
      </c>
      <c r="C236" s="6">
        <v>12924.0</v>
      </c>
      <c r="D236" s="6">
        <v>1120009.5</v>
      </c>
      <c r="E236" s="7">
        <f t="array" ref="E236">_xlfn.XLOOKUP($K236,
         'Лист2'!$G$2:$G$505,
         'Лист2'!$C$2:$C$505,
         "не найдено")</f>
        <v>15</v>
      </c>
      <c r="F236" s="7">
        <f t="array" ref="F236">_xlfn.XLOOKUP($K236,
         'Лист2'!$G$2:$G$505,
         'Лист2'!$D$2:$D$505,
         "не найдено")</f>
        <v>784</v>
      </c>
      <c r="G236" s="7">
        <f t="array" ref="G236">_xlfn.XLOOKUP($K236,
         'Лист2'!$G$2:$G$505,
         'Лист2'!$D$2:$D$505,
         "не найдено")</f>
        <v>784</v>
      </c>
      <c r="H236" s="8">
        <f t="shared" si="1"/>
        <v>74667.3</v>
      </c>
      <c r="I236" s="8">
        <f t="shared" si="2"/>
        <v>18</v>
      </c>
      <c r="K236" s="8" t="str">
        <f t="shared" si="3"/>
        <v>43954|Пермь</v>
      </c>
    </row>
    <row r="237" ht="14.25" customHeight="1">
      <c r="A237" s="10">
        <v>43957.0</v>
      </c>
      <c r="B237" s="11" t="s">
        <v>26</v>
      </c>
      <c r="C237" s="11">
        <v>14061.0</v>
      </c>
      <c r="D237" s="11">
        <v>1221057.0</v>
      </c>
      <c r="E237" s="7">
        <f t="array" ref="E237">_xlfn.XLOOKUP($K237,
         'Лист2'!$G$2:$G$505,
         'Лист2'!$C$2:$C$505,
         "не найдено")</f>
        <v>15</v>
      </c>
      <c r="F237" s="7">
        <f t="array" ref="F237">_xlfn.XLOOKUP($K237,
         'Лист2'!$G$2:$G$505,
         'Лист2'!$D$2:$D$505,
         "не найдено")</f>
        <v>839</v>
      </c>
      <c r="G237" s="7">
        <f t="array" ref="G237">_xlfn.XLOOKUP($K237,
         'Лист2'!$G$2:$G$505,
         'Лист2'!$D$2:$D$505,
         "не найдено")</f>
        <v>839</v>
      </c>
      <c r="H237" s="8">
        <f t="shared" si="1"/>
        <v>81403.8</v>
      </c>
      <c r="I237" s="8">
        <f t="shared" si="2"/>
        <v>19</v>
      </c>
      <c r="K237" s="8" t="str">
        <f t="shared" si="3"/>
        <v>43957|Пермь</v>
      </c>
    </row>
    <row r="238" ht="14.25" customHeight="1">
      <c r="A238" s="5">
        <v>43974.0</v>
      </c>
      <c r="B238" s="6" t="s">
        <v>26</v>
      </c>
      <c r="C238" s="6">
        <v>21958.5</v>
      </c>
      <c r="D238" s="6">
        <v>1854001.5</v>
      </c>
      <c r="E238" s="7">
        <f t="array" ref="E238">_xlfn.XLOOKUP($K238,
         'Лист2'!$G$2:$G$505,
         'Лист2'!$C$2:$C$505,
         "не найдено")</f>
        <v>17</v>
      </c>
      <c r="F238" s="7">
        <f t="array" ref="F238">_xlfn.XLOOKUP($K238,
         'Лист2'!$G$2:$G$505,
         'Лист2'!$D$2:$D$505,
         "не найдено")</f>
        <v>1294</v>
      </c>
      <c r="G238" s="7">
        <f t="array" ref="G238">_xlfn.XLOOKUP($K238,
         'Лист2'!$G$2:$G$505,
         'Лист2'!$D$2:$D$505,
         "не найдено")</f>
        <v>1294</v>
      </c>
      <c r="H238" s="8">
        <f t="shared" si="1"/>
        <v>109058.9118</v>
      </c>
      <c r="I238" s="8">
        <f t="shared" si="2"/>
        <v>21</v>
      </c>
      <c r="K238" s="8" t="str">
        <f t="shared" si="3"/>
        <v>43974|Пермь</v>
      </c>
    </row>
    <row r="239" ht="14.25" customHeight="1">
      <c r="A239" s="10">
        <v>43976.0</v>
      </c>
      <c r="B239" s="11" t="s">
        <v>26</v>
      </c>
      <c r="C239" s="11">
        <v>17211.0</v>
      </c>
      <c r="D239" s="11">
        <v>1507867.5</v>
      </c>
      <c r="E239" s="7">
        <f t="array" ref="E239">_xlfn.XLOOKUP($K239,
         'Лист2'!$G$2:$G$505,
         'Лист2'!$C$2:$C$505,
         "не найдено")</f>
        <v>17</v>
      </c>
      <c r="F239" s="7">
        <f t="array" ref="F239">_xlfn.XLOOKUP($K239,
         'Лист2'!$G$2:$G$505,
         'Лист2'!$D$2:$D$505,
         "не найдено")</f>
        <v>1142</v>
      </c>
      <c r="G239" s="7">
        <f t="array" ref="G239">_xlfn.XLOOKUP($K239,
         'Лист2'!$G$2:$G$505,
         'Лист2'!$D$2:$D$505,
         "не найдено")</f>
        <v>1142</v>
      </c>
      <c r="H239" s="8">
        <f t="shared" si="1"/>
        <v>88698.08824</v>
      </c>
      <c r="I239" s="8">
        <f t="shared" si="2"/>
        <v>22</v>
      </c>
      <c r="K239" s="8" t="str">
        <f t="shared" si="3"/>
        <v>43976|Пермь</v>
      </c>
    </row>
    <row r="240" ht="14.25" customHeight="1">
      <c r="A240" s="5">
        <v>43951.0</v>
      </c>
      <c r="B240" s="6" t="s">
        <v>26</v>
      </c>
      <c r="C240" s="6">
        <v>12753.0</v>
      </c>
      <c r="D240" s="6">
        <v>1103068.5</v>
      </c>
      <c r="E240" s="7">
        <f t="array" ref="E240">_xlfn.XLOOKUP($K240,
         'Лист2'!$G$2:$G$505,
         'Лист2'!$C$2:$C$505,
         "не найдено")</f>
        <v>15</v>
      </c>
      <c r="F240" s="7">
        <f t="array" ref="F240">_xlfn.XLOOKUP($K240,
         'Лист2'!$G$2:$G$505,
         'Лист2'!$D$2:$D$505,
         "не найдено")</f>
        <v>791</v>
      </c>
      <c r="G240" s="7">
        <f t="array" ref="G240">_xlfn.XLOOKUP($K240,
         'Лист2'!$G$2:$G$505,
         'Лист2'!$D$2:$D$505,
         "не найдено")</f>
        <v>791</v>
      </c>
      <c r="H240" s="8">
        <f t="shared" si="1"/>
        <v>73537.9</v>
      </c>
      <c r="I240" s="8">
        <f t="shared" si="2"/>
        <v>18</v>
      </c>
      <c r="K240" s="8" t="str">
        <f t="shared" si="3"/>
        <v>43951|Пермь</v>
      </c>
    </row>
    <row r="241" ht="14.25" customHeight="1">
      <c r="A241" s="10">
        <v>43961.0</v>
      </c>
      <c r="B241" s="11" t="s">
        <v>26</v>
      </c>
      <c r="C241" s="11">
        <v>16435.5</v>
      </c>
      <c r="D241" s="11">
        <v>1471537.5</v>
      </c>
      <c r="E241" s="7">
        <f t="array" ref="E241">_xlfn.XLOOKUP($K241,
         'Лист2'!$G$2:$G$505,
         'Лист2'!$C$2:$C$505,
         "не найдено")</f>
        <v>15</v>
      </c>
      <c r="F241" s="7">
        <f t="array" ref="F241">_xlfn.XLOOKUP($K241,
         'Лист2'!$G$2:$G$505,
         'Лист2'!$D$2:$D$505,
         "не найдено")</f>
        <v>950</v>
      </c>
      <c r="G241" s="7">
        <f t="array" ref="G241">_xlfn.XLOOKUP($K241,
         'Лист2'!$G$2:$G$505,
         'Лист2'!$D$2:$D$505,
         "не найдено")</f>
        <v>950</v>
      </c>
      <c r="H241" s="8">
        <f t="shared" si="1"/>
        <v>98102.5</v>
      </c>
      <c r="I241" s="8">
        <f t="shared" si="2"/>
        <v>19</v>
      </c>
      <c r="K241" s="8" t="str">
        <f t="shared" si="3"/>
        <v>43961|Пермь</v>
      </c>
    </row>
    <row r="242" ht="14.25" customHeight="1">
      <c r="A242" s="5">
        <v>43959.0</v>
      </c>
      <c r="B242" s="6" t="s">
        <v>26</v>
      </c>
      <c r="C242" s="6">
        <v>14494.5</v>
      </c>
      <c r="D242" s="6">
        <v>1269786.0</v>
      </c>
      <c r="E242" s="7">
        <f t="array" ref="E242">_xlfn.XLOOKUP($K242,
         'Лист2'!$G$2:$G$505,
         'Лист2'!$C$2:$C$505,
         "не найдено")</f>
        <v>15</v>
      </c>
      <c r="F242" s="7">
        <f t="array" ref="F242">_xlfn.XLOOKUP($K242,
         'Лист2'!$G$2:$G$505,
         'Лист2'!$D$2:$D$505,
         "не найдено")</f>
        <v>879</v>
      </c>
      <c r="G242" s="7">
        <f t="array" ref="G242">_xlfn.XLOOKUP($K242,
         'Лист2'!$G$2:$G$505,
         'Лист2'!$D$2:$D$505,
         "не найдено")</f>
        <v>879</v>
      </c>
      <c r="H242" s="8">
        <f t="shared" si="1"/>
        <v>84652.4</v>
      </c>
      <c r="I242" s="8">
        <f t="shared" si="2"/>
        <v>19</v>
      </c>
      <c r="K242" s="8" t="str">
        <f t="shared" si="3"/>
        <v>43959|Пермь</v>
      </c>
    </row>
    <row r="243" ht="14.25" customHeight="1">
      <c r="A243" s="10">
        <v>43958.0</v>
      </c>
      <c r="B243" s="11" t="s">
        <v>26</v>
      </c>
      <c r="C243" s="11">
        <v>12705.0</v>
      </c>
      <c r="D243" s="11">
        <v>1123894.5</v>
      </c>
      <c r="E243" s="7">
        <f t="array" ref="E243">_xlfn.XLOOKUP($K243,
         'Лист2'!$G$2:$G$505,
         'Лист2'!$C$2:$C$505,
         "не найдено")</f>
        <v>15</v>
      </c>
      <c r="F243" s="7">
        <f t="array" ref="F243">_xlfn.XLOOKUP($K243,
         'Лист2'!$G$2:$G$505,
         'Лист2'!$D$2:$D$505,
         "не найдено")</f>
        <v>805</v>
      </c>
      <c r="G243" s="7">
        <f t="array" ref="G243">_xlfn.XLOOKUP($K243,
         'Лист2'!$G$2:$G$505,
         'Лист2'!$D$2:$D$505,
         "не найдено")</f>
        <v>805</v>
      </c>
      <c r="H243" s="8">
        <f t="shared" si="1"/>
        <v>74926.3</v>
      </c>
      <c r="I243" s="8">
        <f t="shared" si="2"/>
        <v>19</v>
      </c>
      <c r="K243" s="8" t="str">
        <f t="shared" si="3"/>
        <v>43958|Пермь</v>
      </c>
    </row>
    <row r="244" ht="14.25" customHeight="1">
      <c r="A244" s="5">
        <v>43975.0</v>
      </c>
      <c r="B244" s="6" t="s">
        <v>26</v>
      </c>
      <c r="C244" s="6">
        <v>18075.0</v>
      </c>
      <c r="D244" s="6">
        <v>1548099.0</v>
      </c>
      <c r="E244" s="7">
        <f t="array" ref="E244">_xlfn.XLOOKUP($K244,
         'Лист2'!$G$2:$G$505,
         'Лист2'!$C$2:$C$505,
         "не найдено")</f>
        <v>17</v>
      </c>
      <c r="F244" s="7">
        <f t="array" ref="F244">_xlfn.XLOOKUP($K244,
         'Лист2'!$G$2:$G$505,
         'Лист2'!$D$2:$D$505,
         "не найдено")</f>
        <v>1128</v>
      </c>
      <c r="G244" s="7">
        <f t="array" ref="G244">_xlfn.XLOOKUP($K244,
         'Лист2'!$G$2:$G$505,
         'Лист2'!$D$2:$D$505,
         "не найдено")</f>
        <v>1128</v>
      </c>
      <c r="H244" s="8">
        <f t="shared" si="1"/>
        <v>91064.64706</v>
      </c>
      <c r="I244" s="8">
        <f t="shared" si="2"/>
        <v>21</v>
      </c>
      <c r="K244" s="8" t="str">
        <f t="shared" si="3"/>
        <v>43975|Пермь</v>
      </c>
    </row>
    <row r="245" ht="14.25" customHeight="1">
      <c r="A245" s="10">
        <v>43967.0</v>
      </c>
      <c r="B245" s="11" t="s">
        <v>24</v>
      </c>
      <c r="C245" s="11">
        <v>13120.5</v>
      </c>
      <c r="D245" s="11">
        <v>1215033.0</v>
      </c>
      <c r="E245" s="7">
        <f t="array" ref="E245">_xlfn.XLOOKUP($K245,
         'Лист2'!$G$2:$G$505,
         'Лист2'!$C$2:$C$505,
         "не найдено")</f>
        <v>15</v>
      </c>
      <c r="F245" s="7">
        <f t="array" ref="F245">_xlfn.XLOOKUP($K245,
         'Лист2'!$G$2:$G$505,
         'Лист2'!$D$2:$D$505,
         "не найдено")</f>
        <v>747</v>
      </c>
      <c r="G245" s="7">
        <f t="array" ref="G245">_xlfn.XLOOKUP($K245,
         'Лист2'!$G$2:$G$505,
         'Лист2'!$D$2:$D$505,
         "не найдено")</f>
        <v>747</v>
      </c>
      <c r="H245" s="8">
        <f t="shared" si="1"/>
        <v>81002.2</v>
      </c>
      <c r="I245" s="8">
        <f t="shared" si="2"/>
        <v>20</v>
      </c>
      <c r="K245" s="8" t="str">
        <f t="shared" si="3"/>
        <v>43967|Ростов-на-Дону</v>
      </c>
    </row>
    <row r="246" ht="14.25" customHeight="1">
      <c r="A246" s="5">
        <v>43970.0</v>
      </c>
      <c r="B246" s="6" t="s">
        <v>24</v>
      </c>
      <c r="C246" s="6">
        <v>16237.5</v>
      </c>
      <c r="D246" s="6">
        <v>1403047.5</v>
      </c>
      <c r="E246" s="7">
        <f t="array" ref="E246">_xlfn.XLOOKUP($K246,
         'Лист2'!$G$2:$G$505,
         'Лист2'!$C$2:$C$505,
         "не найдено")</f>
        <v>15</v>
      </c>
      <c r="F246" s="7">
        <f t="array" ref="F246">_xlfn.XLOOKUP($K246,
         'Лист2'!$G$2:$G$505,
         'Лист2'!$D$2:$D$505,
         "не найдено")</f>
        <v>930</v>
      </c>
      <c r="G246" s="7">
        <f t="array" ref="G246">_xlfn.XLOOKUP($K246,
         'Лист2'!$G$2:$G$505,
         'Лист2'!$D$2:$D$505,
         "не найдено")</f>
        <v>930</v>
      </c>
      <c r="H246" s="8">
        <f t="shared" si="1"/>
        <v>93536.5</v>
      </c>
      <c r="I246" s="8">
        <f t="shared" si="2"/>
        <v>21</v>
      </c>
      <c r="K246" s="8" t="str">
        <f t="shared" si="3"/>
        <v>43970|Ростов-на-Дону</v>
      </c>
    </row>
    <row r="247" ht="14.25" customHeight="1">
      <c r="A247" s="10">
        <v>43968.0</v>
      </c>
      <c r="B247" s="11" t="s">
        <v>24</v>
      </c>
      <c r="C247" s="11">
        <v>11967.0</v>
      </c>
      <c r="D247" s="11">
        <v>1060489.5</v>
      </c>
      <c r="E247" s="7">
        <f t="array" ref="E247">_xlfn.XLOOKUP($K247,
         'Лист2'!$G$2:$G$505,
         'Лист2'!$C$2:$C$505,
         "не найдено")</f>
        <v>15</v>
      </c>
      <c r="F247" s="7">
        <f t="array" ref="F247">_xlfn.XLOOKUP($K247,
         'Лист2'!$G$2:$G$505,
         'Лист2'!$D$2:$D$505,
         "не найдено")</f>
        <v>692</v>
      </c>
      <c r="G247" s="7">
        <f t="array" ref="G247">_xlfn.XLOOKUP($K247,
         'Лист2'!$G$2:$G$505,
         'Лист2'!$D$2:$D$505,
         "не найдено")</f>
        <v>692</v>
      </c>
      <c r="H247" s="8">
        <f t="shared" si="1"/>
        <v>70699.3</v>
      </c>
      <c r="I247" s="8">
        <f t="shared" si="2"/>
        <v>20</v>
      </c>
      <c r="K247" s="8" t="str">
        <f t="shared" si="3"/>
        <v>43968|Ростов-на-Дону</v>
      </c>
    </row>
    <row r="248" ht="14.25" customHeight="1">
      <c r="A248" s="5">
        <v>43960.0</v>
      </c>
      <c r="B248" s="6" t="s">
        <v>24</v>
      </c>
      <c r="C248" s="6">
        <v>12037.5</v>
      </c>
      <c r="D248" s="6">
        <v>1081216.5</v>
      </c>
      <c r="E248" s="7">
        <f t="array" ref="E248">_xlfn.XLOOKUP($K248,
         'Лист2'!$G$2:$G$505,
         'Лист2'!$C$2:$C$505,
         "не найдено")</f>
        <v>15</v>
      </c>
      <c r="F248" s="7">
        <f t="array" ref="F248">_xlfn.XLOOKUP($K248,
         'Лист2'!$G$2:$G$505,
         'Лист2'!$D$2:$D$505,
         "не найдено")</f>
        <v>623</v>
      </c>
      <c r="G248" s="7">
        <f t="array" ref="G248">_xlfn.XLOOKUP($K248,
         'Лист2'!$G$2:$G$505,
         'Лист2'!$D$2:$D$505,
         "не найдено")</f>
        <v>623</v>
      </c>
      <c r="H248" s="8">
        <f t="shared" si="1"/>
        <v>72081.1</v>
      </c>
      <c r="I248" s="8">
        <f t="shared" si="2"/>
        <v>19</v>
      </c>
      <c r="K248" s="8" t="str">
        <f t="shared" si="3"/>
        <v>43960|Ростов-на-Дону</v>
      </c>
    </row>
    <row r="249" ht="14.25" customHeight="1">
      <c r="A249" s="10">
        <v>43955.0</v>
      </c>
      <c r="B249" s="11" t="s">
        <v>24</v>
      </c>
      <c r="C249" s="11">
        <v>7087.5</v>
      </c>
      <c r="D249" s="11">
        <v>610855.5</v>
      </c>
      <c r="E249" s="7">
        <f t="array" ref="E249">_xlfn.XLOOKUP($K249,
         'Лист2'!$G$2:$G$505,
         'Лист2'!$C$2:$C$505,
         "не найдено")</f>
        <v>15</v>
      </c>
      <c r="F249" s="7">
        <f t="array" ref="F249">_xlfn.XLOOKUP($K249,
         'Лист2'!$G$2:$G$505,
         'Лист2'!$D$2:$D$505,
         "не найдено")</f>
        <v>390</v>
      </c>
      <c r="G249" s="7">
        <f t="array" ref="G249">_xlfn.XLOOKUP($K249,
         'Лист2'!$G$2:$G$505,
         'Лист2'!$D$2:$D$505,
         "не найдено")</f>
        <v>390</v>
      </c>
      <c r="H249" s="8">
        <f t="shared" si="1"/>
        <v>40723.7</v>
      </c>
      <c r="I249" s="8">
        <f t="shared" si="2"/>
        <v>19</v>
      </c>
      <c r="K249" s="8" t="str">
        <f t="shared" si="3"/>
        <v>43955|Ростов-на-Дону</v>
      </c>
    </row>
    <row r="250" ht="14.25" customHeight="1">
      <c r="A250" s="5">
        <v>43950.0</v>
      </c>
      <c r="B250" s="6" t="s">
        <v>22</v>
      </c>
      <c r="C250" s="6">
        <v>25816.5</v>
      </c>
      <c r="D250" s="6">
        <v>2360914.5</v>
      </c>
      <c r="E250" s="7">
        <f t="array" ref="E250">_xlfn.XLOOKUP($K250,
         'Лист2'!$G$2:$G$505,
         'Лист2'!$C$2:$C$505,
         "не найдено")</f>
        <v>18</v>
      </c>
      <c r="F250" s="7">
        <f t="array" ref="F250">_xlfn.XLOOKUP($K250,
         'Лист2'!$G$2:$G$505,
         'Лист2'!$D$2:$D$505,
         "не найдено")</f>
        <v>1599</v>
      </c>
      <c r="G250" s="7">
        <f t="array" ref="G250">_xlfn.XLOOKUP($K250,
         'Лист2'!$G$2:$G$505,
         'Лист2'!$D$2:$D$505,
         "не найдено")</f>
        <v>1599</v>
      </c>
      <c r="H250" s="8">
        <f t="shared" si="1"/>
        <v>131161.9167</v>
      </c>
      <c r="I250" s="8">
        <f t="shared" si="2"/>
        <v>18</v>
      </c>
      <c r="K250" s="8" t="str">
        <f t="shared" si="3"/>
        <v>43950|Краснодар</v>
      </c>
    </row>
    <row r="251" ht="14.25" customHeight="1">
      <c r="A251" s="10">
        <v>43953.0</v>
      </c>
      <c r="B251" s="11" t="s">
        <v>24</v>
      </c>
      <c r="C251" s="11">
        <v>4624.5</v>
      </c>
      <c r="D251" s="11">
        <v>433243.5</v>
      </c>
      <c r="E251" s="7">
        <f t="array" ref="E251">_xlfn.XLOOKUP($K251,
         'Лист2'!$G$2:$G$505,
         'Лист2'!$C$2:$C$505,
         "не найдено")</f>
        <v>15</v>
      </c>
      <c r="F251" s="7">
        <f t="array" ref="F251">_xlfn.XLOOKUP($K251,
         'Лист2'!$G$2:$G$505,
         'Лист2'!$D$2:$D$505,
         "не найдено")</f>
        <v>274</v>
      </c>
      <c r="G251" s="7">
        <f t="array" ref="G251">_xlfn.XLOOKUP($K251,
         'Лист2'!$G$2:$G$505,
         'Лист2'!$D$2:$D$505,
         "не найдено")</f>
        <v>274</v>
      </c>
      <c r="H251" s="8">
        <f t="shared" si="1"/>
        <v>28882.9</v>
      </c>
      <c r="I251" s="8">
        <f t="shared" si="2"/>
        <v>18</v>
      </c>
      <c r="K251" s="8" t="str">
        <f t="shared" si="3"/>
        <v>43953|Ростов-на-Дону</v>
      </c>
    </row>
    <row r="252" ht="14.25" customHeight="1">
      <c r="A252" s="5">
        <v>43977.0</v>
      </c>
      <c r="B252" s="6" t="s">
        <v>24</v>
      </c>
      <c r="C252" s="6">
        <v>12259.5</v>
      </c>
      <c r="D252" s="6">
        <v>1152054.0</v>
      </c>
      <c r="E252" s="7">
        <f t="array" ref="E252">_xlfn.XLOOKUP($K252,
         'Лист2'!$G$2:$G$505,
         'Лист2'!$C$2:$C$505,
         "не найдено")</f>
        <v>15</v>
      </c>
      <c r="F252" s="7">
        <f t="array" ref="F252">_xlfn.XLOOKUP($K252,
         'Лист2'!$G$2:$G$505,
         'Лист2'!$D$2:$D$505,
         "не найдено")</f>
        <v>812</v>
      </c>
      <c r="G252" s="7">
        <f t="array" ref="G252">_xlfn.XLOOKUP($K252,
         'Лист2'!$G$2:$G$505,
         'Лист2'!$D$2:$D$505,
         "не найдено")</f>
        <v>812</v>
      </c>
      <c r="H252" s="8">
        <f t="shared" si="1"/>
        <v>76803.6</v>
      </c>
      <c r="I252" s="8">
        <f t="shared" si="2"/>
        <v>22</v>
      </c>
      <c r="K252" s="8" t="str">
        <f t="shared" si="3"/>
        <v>43977|Ростов-на-Дону</v>
      </c>
    </row>
    <row r="253" ht="14.25" customHeight="1">
      <c r="A253" s="10">
        <v>43952.0</v>
      </c>
      <c r="B253" s="11" t="s">
        <v>24</v>
      </c>
      <c r="C253" s="11">
        <v>5446.5</v>
      </c>
      <c r="D253" s="11">
        <v>505572.0</v>
      </c>
      <c r="E253" s="7">
        <f t="array" ref="E253">_xlfn.XLOOKUP($K253,
         'Лист2'!$G$2:$G$505,
         'Лист2'!$C$2:$C$505,
         "не найдено")</f>
        <v>15</v>
      </c>
      <c r="F253" s="7">
        <f t="array" ref="F253">_xlfn.XLOOKUP($K253,
         'Лист2'!$G$2:$G$505,
         'Лист2'!$D$2:$D$505,
         "не найдено")</f>
        <v>294</v>
      </c>
      <c r="G253" s="7">
        <f t="array" ref="G253">_xlfn.XLOOKUP($K253,
         'Лист2'!$G$2:$G$505,
         'Лист2'!$D$2:$D$505,
         "не найдено")</f>
        <v>294</v>
      </c>
      <c r="H253" s="8">
        <f t="shared" si="1"/>
        <v>33704.8</v>
      </c>
      <c r="I253" s="8">
        <f t="shared" si="2"/>
        <v>18</v>
      </c>
      <c r="K253" s="8" t="str">
        <f t="shared" si="3"/>
        <v>43952|Ростов-на-Дону</v>
      </c>
    </row>
    <row r="254" ht="14.25" customHeight="1">
      <c r="A254" s="5">
        <v>43963.0</v>
      </c>
      <c r="B254" s="6" t="s">
        <v>24</v>
      </c>
      <c r="C254" s="6">
        <v>11296.5</v>
      </c>
      <c r="D254" s="6">
        <v>989632.5</v>
      </c>
      <c r="E254" s="7">
        <f t="array" ref="E254">_xlfn.XLOOKUP($K254,
         'Лист2'!$G$2:$G$505,
         'Лист2'!$C$2:$C$505,
         "не найдено")</f>
        <v>15</v>
      </c>
      <c r="F254" s="7">
        <f t="array" ref="F254">_xlfn.XLOOKUP($K254,
         'Лист2'!$G$2:$G$505,
         'Лист2'!$D$2:$D$505,
         "не найдено")</f>
        <v>624</v>
      </c>
      <c r="G254" s="7">
        <f t="array" ref="G254">_xlfn.XLOOKUP($K254,
         'Лист2'!$G$2:$G$505,
         'Лист2'!$D$2:$D$505,
         "не найдено")</f>
        <v>624</v>
      </c>
      <c r="H254" s="8">
        <f t="shared" si="1"/>
        <v>65975.5</v>
      </c>
      <c r="I254" s="8">
        <f t="shared" si="2"/>
        <v>20</v>
      </c>
      <c r="K254" s="8" t="str">
        <f t="shared" si="3"/>
        <v>43963|Ростов-на-Дону</v>
      </c>
    </row>
    <row r="255" ht="14.25" customHeight="1">
      <c r="A255" s="10">
        <v>43972.0</v>
      </c>
      <c r="B255" s="11" t="s">
        <v>24</v>
      </c>
      <c r="C255" s="11">
        <v>12135.0</v>
      </c>
      <c r="D255" s="11">
        <v>1103623.5</v>
      </c>
      <c r="E255" s="7">
        <f t="array" ref="E255">_xlfn.XLOOKUP($K255,
         'Лист2'!$G$2:$G$505,
         'Лист2'!$C$2:$C$505,
         "не найдено")</f>
        <v>15</v>
      </c>
      <c r="F255" s="7">
        <f t="array" ref="F255">_xlfn.XLOOKUP($K255,
         'Лист2'!$G$2:$G$505,
         'Лист2'!$D$2:$D$505,
         "не найдено")</f>
        <v>749</v>
      </c>
      <c r="G255" s="7">
        <f t="array" ref="G255">_xlfn.XLOOKUP($K255,
         'Лист2'!$G$2:$G$505,
         'Лист2'!$D$2:$D$505,
         "не найдено")</f>
        <v>749</v>
      </c>
      <c r="H255" s="8">
        <f t="shared" si="1"/>
        <v>73574.9</v>
      </c>
      <c r="I255" s="8">
        <f t="shared" si="2"/>
        <v>21</v>
      </c>
      <c r="K255" s="8" t="str">
        <f t="shared" si="3"/>
        <v>43972|Ростов-на-Дону</v>
      </c>
    </row>
    <row r="256" ht="14.25" customHeight="1">
      <c r="A256" s="5">
        <v>43971.0</v>
      </c>
      <c r="B256" s="6" t="s">
        <v>24</v>
      </c>
      <c r="C256" s="6">
        <v>12630.0</v>
      </c>
      <c r="D256" s="6">
        <v>1104858.0</v>
      </c>
      <c r="E256" s="7">
        <f t="array" ref="E256">_xlfn.XLOOKUP($K256,
         'Лист2'!$G$2:$G$505,
         'Лист2'!$C$2:$C$505,
         "не найдено")</f>
        <v>15</v>
      </c>
      <c r="F256" s="7">
        <f t="array" ref="F256">_xlfn.XLOOKUP($K256,
         'Лист2'!$G$2:$G$505,
         'Лист2'!$D$2:$D$505,
         "не найдено")</f>
        <v>760</v>
      </c>
      <c r="G256" s="7">
        <f t="array" ref="G256">_xlfn.XLOOKUP($K256,
         'Лист2'!$G$2:$G$505,
         'Лист2'!$D$2:$D$505,
         "не найдено")</f>
        <v>760</v>
      </c>
      <c r="H256" s="8">
        <f t="shared" si="1"/>
        <v>73657.2</v>
      </c>
      <c r="I256" s="8">
        <f t="shared" si="2"/>
        <v>21</v>
      </c>
      <c r="K256" s="8" t="str">
        <f t="shared" si="3"/>
        <v>43971|Ростов-на-Дону</v>
      </c>
    </row>
    <row r="257" ht="14.25" customHeight="1">
      <c r="A257" s="10">
        <v>43956.0</v>
      </c>
      <c r="B257" s="11" t="s">
        <v>24</v>
      </c>
      <c r="C257" s="11">
        <v>8223.0</v>
      </c>
      <c r="D257" s="11">
        <v>694593.0</v>
      </c>
      <c r="E257" s="7">
        <f t="array" ref="E257">_xlfn.XLOOKUP($K257,
         'Лист2'!$G$2:$G$505,
         'Лист2'!$C$2:$C$505,
         "не найдено")</f>
        <v>15</v>
      </c>
      <c r="F257" s="7">
        <f t="array" ref="F257">_xlfn.XLOOKUP($K257,
         'Лист2'!$G$2:$G$505,
         'Лист2'!$D$2:$D$505,
         "не найдено")</f>
        <v>455</v>
      </c>
      <c r="G257" s="7">
        <f t="array" ref="G257">_xlfn.XLOOKUP($K257,
         'Лист2'!$G$2:$G$505,
         'Лист2'!$D$2:$D$505,
         "не найдено")</f>
        <v>455</v>
      </c>
      <c r="H257" s="8">
        <f t="shared" si="1"/>
        <v>46306.2</v>
      </c>
      <c r="I257" s="8">
        <f t="shared" si="2"/>
        <v>19</v>
      </c>
      <c r="K257" s="8" t="str">
        <f t="shared" si="3"/>
        <v>43956|Ростов-на-Дону</v>
      </c>
    </row>
    <row r="258" ht="14.25" customHeight="1">
      <c r="A258" s="5">
        <v>43949.0</v>
      </c>
      <c r="B258" s="6" t="s">
        <v>22</v>
      </c>
      <c r="C258" s="6">
        <v>25149.0</v>
      </c>
      <c r="D258" s="6">
        <v>2277072.0</v>
      </c>
      <c r="E258" s="7">
        <f t="array" ref="E258">_xlfn.XLOOKUP($K258,
         'Лист2'!$G$2:$G$505,
         'Лист2'!$C$2:$C$505,
         "не найдено")</f>
        <v>18</v>
      </c>
      <c r="F258" s="7">
        <f t="array" ref="F258">_xlfn.XLOOKUP($K258,
         'Лист2'!$G$2:$G$505,
         'Лист2'!$D$2:$D$505,
         "не найдено")</f>
        <v>1505</v>
      </c>
      <c r="G258" s="7">
        <f t="array" ref="G258">_xlfn.XLOOKUP($K258,
         'Лист2'!$G$2:$G$505,
         'Лист2'!$D$2:$D$505,
         "не найдено")</f>
        <v>1505</v>
      </c>
      <c r="H258" s="8">
        <f t="shared" si="1"/>
        <v>126504</v>
      </c>
      <c r="I258" s="8">
        <f t="shared" si="2"/>
        <v>18</v>
      </c>
      <c r="K258" s="8" t="str">
        <f t="shared" si="3"/>
        <v>43949|Краснодар</v>
      </c>
    </row>
    <row r="259" ht="14.25" customHeight="1">
      <c r="A259" s="10">
        <v>43964.0</v>
      </c>
      <c r="B259" s="11" t="s">
        <v>24</v>
      </c>
      <c r="C259" s="11">
        <v>10401.0</v>
      </c>
      <c r="D259" s="11">
        <v>949912.5</v>
      </c>
      <c r="E259" s="7">
        <f t="array" ref="E259">_xlfn.XLOOKUP($K259,
         'Лист2'!$G$2:$G$505,
         'Лист2'!$C$2:$C$505,
         "не найдено")</f>
        <v>15</v>
      </c>
      <c r="F259" s="7">
        <f t="array" ref="F259">_xlfn.XLOOKUP($K259,
         'Лист2'!$G$2:$G$505,
         'Лист2'!$D$2:$D$505,
         "не найдено")</f>
        <v>599</v>
      </c>
      <c r="G259" s="7">
        <f t="array" ref="G259">_xlfn.XLOOKUP($K259,
         'Лист2'!$G$2:$G$505,
         'Лист2'!$D$2:$D$505,
         "не найдено")</f>
        <v>599</v>
      </c>
      <c r="H259" s="8">
        <f t="shared" si="1"/>
        <v>63327.5</v>
      </c>
      <c r="I259" s="8">
        <f t="shared" si="2"/>
        <v>20</v>
      </c>
      <c r="K259" s="8" t="str">
        <f t="shared" si="3"/>
        <v>43964|Ростов-на-Дону</v>
      </c>
    </row>
    <row r="260" ht="14.25" customHeight="1">
      <c r="A260" s="5">
        <v>43982.0</v>
      </c>
      <c r="B260" s="6" t="s">
        <v>26</v>
      </c>
      <c r="C260" s="6">
        <v>17689.5</v>
      </c>
      <c r="D260" s="6">
        <v>1592119.5</v>
      </c>
      <c r="E260" s="7">
        <f t="array" ref="E260">_xlfn.XLOOKUP($K260,
         'Лист2'!$G$2:$G$505,
         'Лист2'!$C$2:$C$505,
         "не найдено")</f>
        <v>17</v>
      </c>
      <c r="F260" s="7">
        <f t="array" ref="F260">_xlfn.XLOOKUP($K260,
         'Лист2'!$G$2:$G$505,
         'Лист2'!$D$2:$D$505,
         "не найдено")</f>
        <v>1186</v>
      </c>
      <c r="G260" s="7">
        <f t="array" ref="G260">_xlfn.XLOOKUP($K260,
         'Лист2'!$G$2:$G$505,
         'Лист2'!$D$2:$D$505,
         "не найдено")</f>
        <v>1186</v>
      </c>
      <c r="H260" s="8">
        <f t="shared" si="1"/>
        <v>93654.08824</v>
      </c>
      <c r="I260" s="8">
        <f t="shared" si="2"/>
        <v>22</v>
      </c>
      <c r="K260" s="8" t="str">
        <f t="shared" si="3"/>
        <v>43982|Пермь</v>
      </c>
    </row>
    <row r="261" ht="14.25" customHeight="1">
      <c r="A261" s="10">
        <v>43954.0</v>
      </c>
      <c r="B261" s="11" t="s">
        <v>24</v>
      </c>
      <c r="C261" s="11">
        <v>8127.0</v>
      </c>
      <c r="D261" s="11">
        <v>665302.5</v>
      </c>
      <c r="E261" s="7">
        <f t="array" ref="E261">_xlfn.XLOOKUP($K261,
         'Лист2'!$G$2:$G$505,
         'Лист2'!$C$2:$C$505,
         "не найдено")</f>
        <v>15</v>
      </c>
      <c r="F261" s="7">
        <f t="array" ref="F261">_xlfn.XLOOKUP($K261,
         'Лист2'!$G$2:$G$505,
         'Лист2'!$D$2:$D$505,
         "не найдено")</f>
        <v>455</v>
      </c>
      <c r="G261" s="7">
        <f t="array" ref="G261">_xlfn.XLOOKUP($K261,
         'Лист2'!$G$2:$G$505,
         'Лист2'!$D$2:$D$505,
         "не найдено")</f>
        <v>455</v>
      </c>
      <c r="H261" s="8">
        <f t="shared" si="1"/>
        <v>44353.5</v>
      </c>
      <c r="I261" s="8">
        <f t="shared" si="2"/>
        <v>18</v>
      </c>
      <c r="K261" s="8" t="str">
        <f t="shared" si="3"/>
        <v>43954|Ростов-на-Дону</v>
      </c>
    </row>
    <row r="262" ht="14.25" customHeight="1">
      <c r="A262" s="5">
        <v>43981.0</v>
      </c>
      <c r="B262" s="6" t="s">
        <v>26</v>
      </c>
      <c r="C262" s="6">
        <v>27250.5</v>
      </c>
      <c r="D262" s="6">
        <v>2457252.0</v>
      </c>
      <c r="E262" s="7">
        <f t="array" ref="E262">_xlfn.XLOOKUP($K262,
         'Лист2'!$G$2:$G$505,
         'Лист2'!$C$2:$C$505,
         "не найдено")</f>
        <v>17</v>
      </c>
      <c r="F262" s="7">
        <f t="array" ref="F262">_xlfn.XLOOKUP($K262,
         'Лист2'!$G$2:$G$505,
         'Лист2'!$D$2:$D$505,
         "не найдено")</f>
        <v>1697</v>
      </c>
      <c r="G262" s="7">
        <f t="array" ref="G262">_xlfn.XLOOKUP($K262,
         'Лист2'!$G$2:$G$505,
         'Лист2'!$D$2:$D$505,
         "не найдено")</f>
        <v>1697</v>
      </c>
      <c r="H262" s="8">
        <f t="shared" si="1"/>
        <v>144544.2353</v>
      </c>
      <c r="I262" s="8">
        <f t="shared" si="2"/>
        <v>22</v>
      </c>
      <c r="K262" s="8" t="str">
        <f t="shared" si="3"/>
        <v>43981|Пермь</v>
      </c>
    </row>
    <row r="263" ht="14.25" customHeight="1">
      <c r="A263" s="10">
        <v>43957.0</v>
      </c>
      <c r="B263" s="11" t="s">
        <v>24</v>
      </c>
      <c r="C263" s="11">
        <v>8464.5</v>
      </c>
      <c r="D263" s="11">
        <v>739291.5</v>
      </c>
      <c r="E263" s="7">
        <f t="array" ref="E263">_xlfn.XLOOKUP($K263,
         'Лист2'!$G$2:$G$505,
         'Лист2'!$C$2:$C$505,
         "не найдено")</f>
        <v>15</v>
      </c>
      <c r="F263" s="7">
        <f t="array" ref="F263">_xlfn.XLOOKUP($K263,
         'Лист2'!$G$2:$G$505,
         'Лист2'!$D$2:$D$505,
         "не найдено")</f>
        <v>467</v>
      </c>
      <c r="G263" s="7">
        <f t="array" ref="G263">_xlfn.XLOOKUP($K263,
         'Лист2'!$G$2:$G$505,
         'Лист2'!$D$2:$D$505,
         "не найдено")</f>
        <v>467</v>
      </c>
      <c r="H263" s="8">
        <f t="shared" si="1"/>
        <v>49286.1</v>
      </c>
      <c r="I263" s="8">
        <f t="shared" si="2"/>
        <v>19</v>
      </c>
      <c r="K263" s="8" t="str">
        <f t="shared" si="3"/>
        <v>43957|Ростов-на-Дону</v>
      </c>
    </row>
    <row r="264" ht="14.25" customHeight="1">
      <c r="A264" s="5">
        <v>43974.0</v>
      </c>
      <c r="B264" s="6" t="s">
        <v>24</v>
      </c>
      <c r="C264" s="6">
        <v>14167.5</v>
      </c>
      <c r="D264" s="6">
        <v>1315075.5</v>
      </c>
      <c r="E264" s="7">
        <f t="array" ref="E264">_xlfn.XLOOKUP($K264,
         'Лист2'!$G$2:$G$505,
         'Лист2'!$C$2:$C$505,
         "не найдено")</f>
        <v>15</v>
      </c>
      <c r="F264" s="7">
        <f t="array" ref="F264">_xlfn.XLOOKUP($K264,
         'Лист2'!$G$2:$G$505,
         'Лист2'!$D$2:$D$505,
         "не найдено")</f>
        <v>840</v>
      </c>
      <c r="G264" s="7">
        <f t="array" ref="G264">_xlfn.XLOOKUP($K264,
         'Лист2'!$G$2:$G$505,
         'Лист2'!$D$2:$D$505,
         "не найдено")</f>
        <v>840</v>
      </c>
      <c r="H264" s="8">
        <f t="shared" si="1"/>
        <v>87671.7</v>
      </c>
      <c r="I264" s="8">
        <f t="shared" si="2"/>
        <v>21</v>
      </c>
      <c r="K264" s="8" t="str">
        <f t="shared" si="3"/>
        <v>43974|Ростов-на-Дону</v>
      </c>
    </row>
    <row r="265" ht="14.25" customHeight="1">
      <c r="A265" s="10">
        <v>43979.0</v>
      </c>
      <c r="B265" s="11" t="s">
        <v>26</v>
      </c>
      <c r="C265" s="11">
        <v>16500.0</v>
      </c>
      <c r="D265" s="11">
        <v>1487928.0</v>
      </c>
      <c r="E265" s="7">
        <f t="array" ref="E265">_xlfn.XLOOKUP($K265,
         'Лист2'!$G$2:$G$505,
         'Лист2'!$C$2:$C$505,
         "не найдено")</f>
        <v>17</v>
      </c>
      <c r="F265" s="7">
        <f t="array" ref="F265">_xlfn.XLOOKUP($K265,
         'Лист2'!$G$2:$G$505,
         'Лист2'!$D$2:$D$505,
         "не найдено")</f>
        <v>1097</v>
      </c>
      <c r="G265" s="7">
        <f t="array" ref="G265">_xlfn.XLOOKUP($K265,
         'Лист2'!$G$2:$G$505,
         'Лист2'!$D$2:$D$505,
         "не найдено")</f>
        <v>1097</v>
      </c>
      <c r="H265" s="8">
        <f t="shared" si="1"/>
        <v>87525.17647</v>
      </c>
      <c r="I265" s="8">
        <f t="shared" si="2"/>
        <v>22</v>
      </c>
      <c r="K265" s="8" t="str">
        <f t="shared" si="3"/>
        <v>43979|Пермь</v>
      </c>
    </row>
    <row r="266" ht="14.25" customHeight="1">
      <c r="A266" s="5">
        <v>43976.0</v>
      </c>
      <c r="B266" s="6" t="s">
        <v>24</v>
      </c>
      <c r="C266" s="6">
        <v>13260.0</v>
      </c>
      <c r="D266" s="6">
        <v>1230687.0</v>
      </c>
      <c r="E266" s="7">
        <f t="array" ref="E266">_xlfn.XLOOKUP($K266,
         'Лист2'!$G$2:$G$505,
         'Лист2'!$C$2:$C$505,
         "не найдено")</f>
        <v>15</v>
      </c>
      <c r="F266" s="7">
        <f t="array" ref="F266">_xlfn.XLOOKUP($K266,
         'Лист2'!$G$2:$G$505,
         'Лист2'!$D$2:$D$505,
         "не найдено")</f>
        <v>835</v>
      </c>
      <c r="G266" s="7">
        <f t="array" ref="G266">_xlfn.XLOOKUP($K266,
         'Лист2'!$G$2:$G$505,
         'Лист2'!$D$2:$D$505,
         "не найдено")</f>
        <v>835</v>
      </c>
      <c r="H266" s="8">
        <f t="shared" si="1"/>
        <v>82045.8</v>
      </c>
      <c r="I266" s="8">
        <f t="shared" si="2"/>
        <v>22</v>
      </c>
      <c r="K266" s="8" t="str">
        <f t="shared" si="3"/>
        <v>43976|Ростов-на-Дону</v>
      </c>
    </row>
    <row r="267" ht="14.25" customHeight="1">
      <c r="A267" s="10">
        <v>43951.0</v>
      </c>
      <c r="B267" s="11" t="s">
        <v>24</v>
      </c>
      <c r="C267" s="11">
        <v>4285.5</v>
      </c>
      <c r="D267" s="11">
        <v>404691.0</v>
      </c>
      <c r="E267" s="7">
        <f t="array" ref="E267">_xlfn.XLOOKUP($K267,
         'Лист2'!$G$2:$G$505,
         'Лист2'!$C$2:$C$505,
         "не найдено")</f>
        <v>15</v>
      </c>
      <c r="F267" s="7">
        <f t="array" ref="F267">_xlfn.XLOOKUP($K267,
         'Лист2'!$G$2:$G$505,
         'Лист2'!$D$2:$D$505,
         "не найдено")</f>
        <v>262</v>
      </c>
      <c r="G267" s="7">
        <f t="array" ref="G267">_xlfn.XLOOKUP($K267,
         'Лист2'!$G$2:$G$505,
         'Лист2'!$D$2:$D$505,
         "не найдено")</f>
        <v>262</v>
      </c>
      <c r="H267" s="8">
        <f t="shared" si="1"/>
        <v>26979.4</v>
      </c>
      <c r="I267" s="8">
        <f t="shared" si="2"/>
        <v>18</v>
      </c>
      <c r="K267" s="8" t="str">
        <f t="shared" si="3"/>
        <v>43951|Ростов-на-Дону</v>
      </c>
    </row>
    <row r="268" ht="14.25" customHeight="1">
      <c r="A268" s="5">
        <v>43961.0</v>
      </c>
      <c r="B268" s="6" t="s">
        <v>24</v>
      </c>
      <c r="C268" s="6">
        <v>13440.0</v>
      </c>
      <c r="D268" s="6">
        <v>1198285.5</v>
      </c>
      <c r="E268" s="7">
        <f t="array" ref="E268">_xlfn.XLOOKUP($K268,
         'Лист2'!$G$2:$G$505,
         'Лист2'!$C$2:$C$505,
         "не найдено")</f>
        <v>15</v>
      </c>
      <c r="F268" s="7">
        <f t="array" ref="F268">_xlfn.XLOOKUP($K268,
         'Лист2'!$G$2:$G$505,
         'Лист2'!$D$2:$D$505,
         "не найдено")</f>
        <v>706</v>
      </c>
      <c r="G268" s="7">
        <f t="array" ref="G268">_xlfn.XLOOKUP($K268,
         'Лист2'!$G$2:$G$505,
         'Лист2'!$D$2:$D$505,
         "не найдено")</f>
        <v>706</v>
      </c>
      <c r="H268" s="8">
        <f t="shared" si="1"/>
        <v>79885.7</v>
      </c>
      <c r="I268" s="8">
        <f t="shared" si="2"/>
        <v>19</v>
      </c>
      <c r="K268" s="8" t="str">
        <f t="shared" si="3"/>
        <v>43961|Ростов-на-Дону</v>
      </c>
    </row>
    <row r="269" ht="14.25" customHeight="1">
      <c r="A269" s="10">
        <v>43959.0</v>
      </c>
      <c r="B269" s="11" t="s">
        <v>24</v>
      </c>
      <c r="C269" s="11">
        <v>9058.5</v>
      </c>
      <c r="D269" s="11">
        <v>798759.0</v>
      </c>
      <c r="E269" s="7">
        <f t="array" ref="E269">_xlfn.XLOOKUP($K269,
         'Лист2'!$G$2:$G$505,
         'Лист2'!$C$2:$C$505,
         "не найдено")</f>
        <v>15</v>
      </c>
      <c r="F269" s="7">
        <f t="array" ref="F269">_xlfn.XLOOKUP($K269,
         'Лист2'!$G$2:$G$505,
         'Лист2'!$D$2:$D$505,
         "не найдено")</f>
        <v>492</v>
      </c>
      <c r="G269" s="7">
        <f t="array" ref="G269">_xlfn.XLOOKUP($K269,
         'Лист2'!$G$2:$G$505,
         'Лист2'!$D$2:$D$505,
         "не найдено")</f>
        <v>492</v>
      </c>
      <c r="H269" s="8">
        <f t="shared" si="1"/>
        <v>53250.6</v>
      </c>
      <c r="I269" s="8">
        <f t="shared" si="2"/>
        <v>19</v>
      </c>
      <c r="K269" s="8" t="str">
        <f t="shared" si="3"/>
        <v>43959|Ростов-на-Дону</v>
      </c>
    </row>
    <row r="270" ht="14.25" customHeight="1">
      <c r="A270" s="5">
        <v>43958.0</v>
      </c>
      <c r="B270" s="6" t="s">
        <v>24</v>
      </c>
      <c r="C270" s="6">
        <v>8719.5</v>
      </c>
      <c r="D270" s="6">
        <v>769276.5</v>
      </c>
      <c r="E270" s="7">
        <f t="array" ref="E270">_xlfn.XLOOKUP($K270,
         'Лист2'!$G$2:$G$505,
         'Лист2'!$C$2:$C$505,
         "не найдено")</f>
        <v>15</v>
      </c>
      <c r="F270" s="7">
        <f t="array" ref="F270">_xlfn.XLOOKUP($K270,
         'Лист2'!$G$2:$G$505,
         'Лист2'!$D$2:$D$505,
         "не найдено")</f>
        <v>480</v>
      </c>
      <c r="G270" s="7">
        <f t="array" ref="G270">_xlfn.XLOOKUP($K270,
         'Лист2'!$G$2:$G$505,
         'Лист2'!$D$2:$D$505,
         "не найдено")</f>
        <v>480</v>
      </c>
      <c r="H270" s="8">
        <f t="shared" si="1"/>
        <v>51285.1</v>
      </c>
      <c r="I270" s="8">
        <f t="shared" si="2"/>
        <v>19</v>
      </c>
      <c r="K270" s="8" t="str">
        <f t="shared" si="3"/>
        <v>43958|Ростов-на-Дону</v>
      </c>
    </row>
    <row r="271" ht="14.25" customHeight="1">
      <c r="A271" s="10">
        <v>43975.0</v>
      </c>
      <c r="B271" s="11" t="s">
        <v>24</v>
      </c>
      <c r="C271" s="11">
        <v>12666.0</v>
      </c>
      <c r="D271" s="11">
        <v>1184865.0</v>
      </c>
      <c r="E271" s="7">
        <f t="array" ref="E271">_xlfn.XLOOKUP($K271,
         'Лист2'!$G$2:$G$505,
         'Лист2'!$C$2:$C$505,
         "не найдено")</f>
        <v>15</v>
      </c>
      <c r="F271" s="7">
        <f t="array" ref="F271">_xlfn.XLOOKUP($K271,
         'Лист2'!$G$2:$G$505,
         'Лист2'!$D$2:$D$505,
         "не найдено")</f>
        <v>779</v>
      </c>
      <c r="G271" s="7">
        <f t="array" ref="G271">_xlfn.XLOOKUP($K271,
         'Лист2'!$G$2:$G$505,
         'Лист2'!$D$2:$D$505,
         "не найдено")</f>
        <v>779</v>
      </c>
      <c r="H271" s="8">
        <f t="shared" si="1"/>
        <v>78991</v>
      </c>
      <c r="I271" s="8">
        <f t="shared" si="2"/>
        <v>21</v>
      </c>
      <c r="K271" s="8" t="str">
        <f t="shared" si="3"/>
        <v>43975|Ростов-на-Дону</v>
      </c>
    </row>
    <row r="272" ht="14.25" customHeight="1">
      <c r="A272" s="5">
        <v>43967.0</v>
      </c>
      <c r="B272" s="6" t="s">
        <v>22</v>
      </c>
      <c r="C272" s="6">
        <v>34563.0</v>
      </c>
      <c r="D272" s="6">
        <v>2922883.5</v>
      </c>
      <c r="E272" s="7">
        <f t="array" ref="E272">_xlfn.XLOOKUP($K272,
         'Лист2'!$G$2:$G$505,
         'Лист2'!$C$2:$C$505,
         "не найдено")</f>
        <v>19</v>
      </c>
      <c r="F272" s="7">
        <f t="array" ref="F272">_xlfn.XLOOKUP($K272,
         'Лист2'!$G$2:$G$505,
         'Лист2'!$D$2:$D$505,
         "не найдено")</f>
        <v>2039</v>
      </c>
      <c r="G272" s="7">
        <f t="array" ref="G272">_xlfn.XLOOKUP($K272,
         'Лист2'!$G$2:$G$505,
         'Лист2'!$D$2:$D$505,
         "не найдено")</f>
        <v>2039</v>
      </c>
      <c r="H272" s="8">
        <f t="shared" si="1"/>
        <v>153835.9737</v>
      </c>
      <c r="I272" s="8">
        <f t="shared" si="2"/>
        <v>20</v>
      </c>
      <c r="K272" s="8" t="str">
        <f t="shared" si="3"/>
        <v>43967|Краснодар</v>
      </c>
    </row>
    <row r="273" ht="14.25" customHeight="1">
      <c r="A273" s="10">
        <v>43970.0</v>
      </c>
      <c r="B273" s="11" t="s">
        <v>22</v>
      </c>
      <c r="C273" s="11">
        <v>28882.5</v>
      </c>
      <c r="D273" s="11">
        <v>2446530.0</v>
      </c>
      <c r="E273" s="7">
        <f t="array" ref="E273">_xlfn.XLOOKUP($K273,
         'Лист2'!$G$2:$G$505,
         'Лист2'!$C$2:$C$505,
         "не найдено")</f>
        <v>19</v>
      </c>
      <c r="F273" s="7">
        <f t="array" ref="F273">_xlfn.XLOOKUP($K273,
         'Лист2'!$G$2:$G$505,
         'Лист2'!$D$2:$D$505,
         "не найдено")</f>
        <v>1831</v>
      </c>
      <c r="G273" s="7">
        <f t="array" ref="G273">_xlfn.XLOOKUP($K273,
         'Лист2'!$G$2:$G$505,
         'Лист2'!$D$2:$D$505,
         "не найдено")</f>
        <v>1831</v>
      </c>
      <c r="H273" s="8">
        <f t="shared" si="1"/>
        <v>128764.7368</v>
      </c>
      <c r="I273" s="8">
        <f t="shared" si="2"/>
        <v>21</v>
      </c>
      <c r="K273" s="8" t="str">
        <f t="shared" si="3"/>
        <v>43970|Краснодар</v>
      </c>
    </row>
    <row r="274" ht="14.25" customHeight="1">
      <c r="A274" s="5">
        <v>43968.0</v>
      </c>
      <c r="B274" s="6" t="s">
        <v>22</v>
      </c>
      <c r="C274" s="6">
        <v>28275.0</v>
      </c>
      <c r="D274" s="6">
        <v>2435632.5</v>
      </c>
      <c r="E274" s="7">
        <f t="array" ref="E274">_xlfn.XLOOKUP($K274,
         'Лист2'!$G$2:$G$505,
         'Лист2'!$C$2:$C$505,
         "не найдено")</f>
        <v>19</v>
      </c>
      <c r="F274" s="7">
        <f t="array" ref="F274">_xlfn.XLOOKUP($K274,
         'Лист2'!$G$2:$G$505,
         'Лист2'!$D$2:$D$505,
         "не найдено")</f>
        <v>1790</v>
      </c>
      <c r="G274" s="7">
        <f t="array" ref="G274">_xlfn.XLOOKUP($K274,
         'Лист2'!$G$2:$G$505,
         'Лист2'!$D$2:$D$505,
         "не найдено")</f>
        <v>1790</v>
      </c>
      <c r="H274" s="8">
        <f t="shared" si="1"/>
        <v>128191.1842</v>
      </c>
      <c r="I274" s="8">
        <f t="shared" si="2"/>
        <v>20</v>
      </c>
      <c r="K274" s="8" t="str">
        <f t="shared" si="3"/>
        <v>43968|Краснодар</v>
      </c>
    </row>
    <row r="275" ht="14.25" customHeight="1">
      <c r="A275" s="10">
        <v>43960.0</v>
      </c>
      <c r="B275" s="11" t="s">
        <v>22</v>
      </c>
      <c r="C275" s="11">
        <v>26271.0</v>
      </c>
      <c r="D275" s="11">
        <v>2384937.0</v>
      </c>
      <c r="E275" s="7">
        <f t="array" ref="E275">_xlfn.XLOOKUP($K275,
         'Лист2'!$G$2:$G$505,
         'Лист2'!$C$2:$C$505,
         "не найдено")</f>
        <v>19</v>
      </c>
      <c r="F275" s="7">
        <f t="array" ref="F275">_xlfn.XLOOKUP($K275,
         'Лист2'!$G$2:$G$505,
         'Лист2'!$D$2:$D$505,
         "не найдено")</f>
        <v>1542</v>
      </c>
      <c r="G275" s="7">
        <f t="array" ref="G275">_xlfn.XLOOKUP($K275,
         'Лист2'!$G$2:$G$505,
         'Лист2'!$D$2:$D$505,
         "не найдено")</f>
        <v>1542</v>
      </c>
      <c r="H275" s="8">
        <f t="shared" si="1"/>
        <v>125523</v>
      </c>
      <c r="I275" s="8">
        <f t="shared" si="2"/>
        <v>19</v>
      </c>
      <c r="K275" s="8" t="str">
        <f t="shared" si="3"/>
        <v>43960|Краснодар</v>
      </c>
    </row>
    <row r="276" ht="14.25" customHeight="1">
      <c r="A276" s="5">
        <v>43955.0</v>
      </c>
      <c r="B276" s="6" t="s">
        <v>22</v>
      </c>
      <c r="C276" s="6">
        <v>23587.5</v>
      </c>
      <c r="D276" s="6">
        <v>2155668.0</v>
      </c>
      <c r="E276" s="7">
        <f t="array" ref="E276">_xlfn.XLOOKUP($K276,
         'Лист2'!$G$2:$G$505,
         'Лист2'!$C$2:$C$505,
         "не найдено")</f>
        <v>19</v>
      </c>
      <c r="F276" s="7">
        <f t="array" ref="F276">_xlfn.XLOOKUP($K276,
         'Лист2'!$G$2:$G$505,
         'Лист2'!$D$2:$D$505,
         "не найдено")</f>
        <v>1479</v>
      </c>
      <c r="G276" s="7">
        <f t="array" ref="G276">_xlfn.XLOOKUP($K276,
         'Лист2'!$G$2:$G$505,
         'Лист2'!$D$2:$D$505,
         "не найдено")</f>
        <v>1479</v>
      </c>
      <c r="H276" s="8">
        <f t="shared" si="1"/>
        <v>113456.2105</v>
      </c>
      <c r="I276" s="8">
        <f t="shared" si="2"/>
        <v>19</v>
      </c>
      <c r="K276" s="8" t="str">
        <f t="shared" si="3"/>
        <v>43955|Краснодар</v>
      </c>
    </row>
    <row r="277" ht="14.25" customHeight="1">
      <c r="A277" s="10">
        <v>43953.0</v>
      </c>
      <c r="B277" s="11" t="s">
        <v>22</v>
      </c>
      <c r="C277" s="11">
        <v>18427.5</v>
      </c>
      <c r="D277" s="11">
        <v>1682851.5</v>
      </c>
      <c r="E277" s="7">
        <f t="array" ref="E277">_xlfn.XLOOKUP($K277,
         'Лист2'!$G$2:$G$505,
         'Лист2'!$C$2:$C$505,
         "не найдено")</f>
        <v>19</v>
      </c>
      <c r="F277" s="7">
        <f t="array" ref="F277">_xlfn.XLOOKUP($K277,
         'Лист2'!$G$2:$G$505,
         'Лист2'!$D$2:$D$505,
         "не найдено")</f>
        <v>1206</v>
      </c>
      <c r="G277" s="7">
        <f t="array" ref="G277">_xlfn.XLOOKUP($K277,
         'Лист2'!$G$2:$G$505,
         'Лист2'!$D$2:$D$505,
         "не найдено")</f>
        <v>1206</v>
      </c>
      <c r="H277" s="8">
        <f t="shared" si="1"/>
        <v>88571.13158</v>
      </c>
      <c r="I277" s="8">
        <f t="shared" si="2"/>
        <v>18</v>
      </c>
      <c r="K277" s="8" t="str">
        <f t="shared" si="3"/>
        <v>43953|Краснодар</v>
      </c>
    </row>
    <row r="278" ht="14.25" customHeight="1">
      <c r="A278" s="5">
        <v>43977.0</v>
      </c>
      <c r="B278" s="6" t="s">
        <v>22</v>
      </c>
      <c r="C278" s="6">
        <v>27156.0</v>
      </c>
      <c r="D278" s="6">
        <v>2410803.0</v>
      </c>
      <c r="E278" s="7">
        <f t="array" ref="E278">_xlfn.XLOOKUP($K278,
         'Лист2'!$G$2:$G$505,
         'Лист2'!$C$2:$C$505,
         "не найдено")</f>
        <v>20</v>
      </c>
      <c r="F278" s="7">
        <f t="array" ref="F278">_xlfn.XLOOKUP($K278,
         'Лист2'!$G$2:$G$505,
         'Лист2'!$D$2:$D$505,
         "не найдено")</f>
        <v>1814</v>
      </c>
      <c r="G278" s="7">
        <f t="array" ref="G278">_xlfn.XLOOKUP($K278,
         'Лист2'!$G$2:$G$505,
         'Лист2'!$D$2:$D$505,
         "не найдено")</f>
        <v>1814</v>
      </c>
      <c r="H278" s="8">
        <f t="shared" si="1"/>
        <v>120540.15</v>
      </c>
      <c r="I278" s="8">
        <f t="shared" si="2"/>
        <v>22</v>
      </c>
      <c r="K278" s="8" t="str">
        <f t="shared" si="3"/>
        <v>43977|Краснодар</v>
      </c>
    </row>
    <row r="279" ht="14.25" customHeight="1">
      <c r="A279" s="10">
        <v>43952.0</v>
      </c>
      <c r="B279" s="11" t="s">
        <v>22</v>
      </c>
      <c r="C279" s="11">
        <v>35190.0</v>
      </c>
      <c r="D279" s="11">
        <v>3168510.0</v>
      </c>
      <c r="E279" s="7">
        <f t="array" ref="E279">_xlfn.XLOOKUP($K279,
         'Лист2'!$G$2:$G$505,
         'Лист2'!$C$2:$C$505,
         "не найдено")</f>
        <v>19</v>
      </c>
      <c r="F279" s="7">
        <f t="array" ref="F279">_xlfn.XLOOKUP($K279,
         'Лист2'!$G$2:$G$505,
         'Лист2'!$D$2:$D$505,
         "не найдено")</f>
        <v>1987</v>
      </c>
      <c r="G279" s="7">
        <f t="array" ref="G279">_xlfn.XLOOKUP($K279,
         'Лист2'!$G$2:$G$505,
         'Лист2'!$D$2:$D$505,
         "не найдено")</f>
        <v>1987</v>
      </c>
      <c r="H279" s="8">
        <f t="shared" si="1"/>
        <v>166763.6842</v>
      </c>
      <c r="I279" s="8">
        <f t="shared" si="2"/>
        <v>18</v>
      </c>
      <c r="K279" s="8" t="str">
        <f t="shared" si="3"/>
        <v>43952|Краснодар</v>
      </c>
    </row>
    <row r="280" ht="14.25" customHeight="1">
      <c r="A280" s="5">
        <v>43963.0</v>
      </c>
      <c r="B280" s="6" t="s">
        <v>22</v>
      </c>
      <c r="C280" s="6">
        <v>25483.5</v>
      </c>
      <c r="D280" s="6">
        <v>2243160.0</v>
      </c>
      <c r="E280" s="7">
        <f t="array" ref="E280">_xlfn.XLOOKUP($K280,
         'Лист2'!$G$2:$G$505,
         'Лист2'!$C$2:$C$505,
         "не найдено")</f>
        <v>19</v>
      </c>
      <c r="F280" s="7">
        <f t="array" ref="F280">_xlfn.XLOOKUP($K280,
         'Лист2'!$G$2:$G$505,
         'Лист2'!$D$2:$D$505,
         "не найдено")</f>
        <v>1598</v>
      </c>
      <c r="G280" s="7">
        <f t="array" ref="G280">_xlfn.XLOOKUP($K280,
         'Лист2'!$G$2:$G$505,
         'Лист2'!$D$2:$D$505,
         "не найдено")</f>
        <v>1598</v>
      </c>
      <c r="H280" s="8">
        <f t="shared" si="1"/>
        <v>118061.0526</v>
      </c>
      <c r="I280" s="8">
        <f t="shared" si="2"/>
        <v>20</v>
      </c>
      <c r="K280" s="8" t="str">
        <f t="shared" si="3"/>
        <v>43963|Краснодар</v>
      </c>
    </row>
    <row r="281" ht="14.25" customHeight="1">
      <c r="A281" s="10">
        <v>43972.0</v>
      </c>
      <c r="B281" s="11" t="s">
        <v>22</v>
      </c>
      <c r="C281" s="11">
        <v>25362.0</v>
      </c>
      <c r="D281" s="11">
        <v>2198935.5</v>
      </c>
      <c r="E281" s="7">
        <f t="array" ref="E281">_xlfn.XLOOKUP($K281,
         'Лист2'!$G$2:$G$505,
         'Лист2'!$C$2:$C$505,
         "не найдено")</f>
        <v>19</v>
      </c>
      <c r="F281" s="7">
        <f t="array" ref="F281">_xlfn.XLOOKUP($K281,
         'Лист2'!$G$2:$G$505,
         'Лист2'!$D$2:$D$505,
         "не найдено")</f>
        <v>1650</v>
      </c>
      <c r="G281" s="7">
        <f t="array" ref="G281">_xlfn.XLOOKUP($K281,
         'Лист2'!$G$2:$G$505,
         'Лист2'!$D$2:$D$505,
         "не найдено")</f>
        <v>1650</v>
      </c>
      <c r="H281" s="8">
        <f t="shared" si="1"/>
        <v>115733.4474</v>
      </c>
      <c r="I281" s="8">
        <f t="shared" si="2"/>
        <v>21</v>
      </c>
      <c r="K281" s="8" t="str">
        <f t="shared" si="3"/>
        <v>43972|Краснодар</v>
      </c>
    </row>
    <row r="282" ht="14.25" customHeight="1">
      <c r="A282" s="5">
        <v>43971.0</v>
      </c>
      <c r="B282" s="6" t="s">
        <v>22</v>
      </c>
      <c r="C282" s="6">
        <v>28849.5</v>
      </c>
      <c r="D282" s="6">
        <v>2520759.0</v>
      </c>
      <c r="E282" s="7">
        <f t="array" ref="E282">_xlfn.XLOOKUP($K282,
         'Лист2'!$G$2:$G$505,
         'Лист2'!$C$2:$C$505,
         "не найдено")</f>
        <v>19</v>
      </c>
      <c r="F282" s="7">
        <f t="array" ref="F282">_xlfn.XLOOKUP($K282,
         'Лист2'!$G$2:$G$505,
         'Лист2'!$D$2:$D$505,
         "не найдено")</f>
        <v>1823</v>
      </c>
      <c r="G282" s="7">
        <f t="array" ref="G282">_xlfn.XLOOKUP($K282,
         'Лист2'!$G$2:$G$505,
         'Лист2'!$D$2:$D$505,
         "не найдено")</f>
        <v>1823</v>
      </c>
      <c r="H282" s="8">
        <f t="shared" si="1"/>
        <v>132671.5263</v>
      </c>
      <c r="I282" s="8">
        <f t="shared" si="2"/>
        <v>21</v>
      </c>
      <c r="K282" s="8" t="str">
        <f t="shared" si="3"/>
        <v>43971|Краснодар</v>
      </c>
    </row>
    <row r="283" ht="14.25" customHeight="1">
      <c r="A283" s="10">
        <v>43956.0</v>
      </c>
      <c r="B283" s="11" t="s">
        <v>22</v>
      </c>
      <c r="C283" s="11">
        <v>26367.0</v>
      </c>
      <c r="D283" s="11">
        <v>2380333.5</v>
      </c>
      <c r="E283" s="7">
        <f t="array" ref="E283">_xlfn.XLOOKUP($K283,
         'Лист2'!$G$2:$G$505,
         'Лист2'!$C$2:$C$505,
         "не найдено")</f>
        <v>19</v>
      </c>
      <c r="F283" s="7">
        <f t="array" ref="F283">_xlfn.XLOOKUP($K283,
         'Лист2'!$G$2:$G$505,
         'Лист2'!$D$2:$D$505,
         "не найдено")</f>
        <v>1622</v>
      </c>
      <c r="G283" s="7">
        <f t="array" ref="G283">_xlfn.XLOOKUP($K283,
         'Лист2'!$G$2:$G$505,
         'Лист2'!$D$2:$D$505,
         "не найдено")</f>
        <v>1622</v>
      </c>
      <c r="H283" s="8">
        <f t="shared" si="1"/>
        <v>125280.7105</v>
      </c>
      <c r="I283" s="8">
        <f t="shared" si="2"/>
        <v>19</v>
      </c>
      <c r="K283" s="8" t="str">
        <f t="shared" si="3"/>
        <v>43956|Краснодар</v>
      </c>
    </row>
    <row r="284" ht="14.25" customHeight="1">
      <c r="A284" s="5">
        <v>43964.0</v>
      </c>
      <c r="B284" s="6" t="s">
        <v>22</v>
      </c>
      <c r="C284" s="6">
        <v>25539.0</v>
      </c>
      <c r="D284" s="6">
        <v>2263651.5</v>
      </c>
      <c r="E284" s="7">
        <f t="array" ref="E284">_xlfn.XLOOKUP($K284,
         'Лист2'!$G$2:$G$505,
         'Лист2'!$C$2:$C$505,
         "не найдено")</f>
        <v>19</v>
      </c>
      <c r="F284" s="7">
        <f t="array" ref="F284">_xlfn.XLOOKUP($K284,
         'Лист2'!$G$2:$G$505,
         'Лист2'!$D$2:$D$505,
         "не найдено")</f>
        <v>1605</v>
      </c>
      <c r="G284" s="7">
        <f t="array" ref="G284">_xlfn.XLOOKUP($K284,
         'Лист2'!$G$2:$G$505,
         'Лист2'!$D$2:$D$505,
         "не найдено")</f>
        <v>1605</v>
      </c>
      <c r="H284" s="8">
        <f t="shared" si="1"/>
        <v>119139.5526</v>
      </c>
      <c r="I284" s="8">
        <f t="shared" si="2"/>
        <v>20</v>
      </c>
      <c r="K284" s="8" t="str">
        <f t="shared" si="3"/>
        <v>43964|Краснодар</v>
      </c>
    </row>
    <row r="285" ht="14.25" customHeight="1">
      <c r="A285" s="10">
        <v>43982.0</v>
      </c>
      <c r="B285" s="11" t="s">
        <v>24</v>
      </c>
      <c r="C285" s="11">
        <v>14808.0</v>
      </c>
      <c r="D285" s="11">
        <v>1336789.5</v>
      </c>
      <c r="E285" s="7">
        <f t="array" ref="E285">_xlfn.XLOOKUP($K285,
         'Лист2'!$G$2:$G$505,
         'Лист2'!$C$2:$C$505,
         "не найдено")</f>
        <v>16</v>
      </c>
      <c r="F285" s="7">
        <f t="array" ref="F285">_xlfn.XLOOKUP($K285,
         'Лист2'!$G$2:$G$505,
         'Лист2'!$D$2:$D$505,
         "не найдено")</f>
        <v>917</v>
      </c>
      <c r="G285" s="7">
        <f t="array" ref="G285">_xlfn.XLOOKUP($K285,
         'Лист2'!$G$2:$G$505,
         'Лист2'!$D$2:$D$505,
         "не найдено")</f>
        <v>917</v>
      </c>
      <c r="H285" s="8">
        <f t="shared" si="1"/>
        <v>83549.34375</v>
      </c>
      <c r="I285" s="8">
        <f t="shared" si="2"/>
        <v>22</v>
      </c>
      <c r="K285" s="8" t="str">
        <f t="shared" si="3"/>
        <v>43982|Ростов-на-Дону</v>
      </c>
    </row>
    <row r="286" ht="14.25" customHeight="1">
      <c r="A286" s="5">
        <v>43954.0</v>
      </c>
      <c r="B286" s="6" t="s">
        <v>22</v>
      </c>
      <c r="C286" s="6">
        <v>21343.5</v>
      </c>
      <c r="D286" s="6">
        <v>1906557.0</v>
      </c>
      <c r="E286" s="7">
        <f t="array" ref="E286">_xlfn.XLOOKUP($K286,
         'Лист2'!$G$2:$G$505,
         'Лист2'!$C$2:$C$505,
         "не найдено")</f>
        <v>19</v>
      </c>
      <c r="F286" s="7">
        <f t="array" ref="F286">_xlfn.XLOOKUP($K286,
         'Лист2'!$G$2:$G$505,
         'Лист2'!$D$2:$D$505,
         "не найдено")</f>
        <v>1314</v>
      </c>
      <c r="G286" s="7">
        <f t="array" ref="G286">_xlfn.XLOOKUP($K286,
         'Лист2'!$G$2:$G$505,
         'Лист2'!$D$2:$D$505,
         "не найдено")</f>
        <v>1314</v>
      </c>
      <c r="H286" s="8">
        <f t="shared" si="1"/>
        <v>100345.1053</v>
      </c>
      <c r="I286" s="8">
        <f t="shared" si="2"/>
        <v>18</v>
      </c>
      <c r="K286" s="8" t="str">
        <f t="shared" si="3"/>
        <v>43954|Краснодар</v>
      </c>
    </row>
    <row r="287" ht="14.25" customHeight="1">
      <c r="A287" s="10">
        <v>43981.0</v>
      </c>
      <c r="B287" s="11" t="s">
        <v>24</v>
      </c>
      <c r="C287" s="11">
        <v>17946.0</v>
      </c>
      <c r="D287" s="11">
        <v>1609090.5</v>
      </c>
      <c r="E287" s="7">
        <f t="array" ref="E287">_xlfn.XLOOKUP($K287,
         'Лист2'!$G$2:$G$505,
         'Лист2'!$C$2:$C$505,
         "не найдено")</f>
        <v>16</v>
      </c>
      <c r="F287" s="7">
        <f t="array" ref="F287">_xlfn.XLOOKUP($K287,
         'Лист2'!$G$2:$G$505,
         'Лист2'!$D$2:$D$505,
         "не найдено")</f>
        <v>1048</v>
      </c>
      <c r="G287" s="7">
        <f t="array" ref="G287">_xlfn.XLOOKUP($K287,
         'Лист2'!$G$2:$G$505,
         'Лист2'!$D$2:$D$505,
         "не найдено")</f>
        <v>1048</v>
      </c>
      <c r="H287" s="8">
        <f t="shared" si="1"/>
        <v>100568.1563</v>
      </c>
      <c r="I287" s="8">
        <f t="shared" si="2"/>
        <v>22</v>
      </c>
      <c r="K287" s="8" t="str">
        <f t="shared" si="3"/>
        <v>43981|Ростов-на-Дону</v>
      </c>
    </row>
    <row r="288" ht="14.25" customHeight="1">
      <c r="A288" s="5">
        <v>43957.0</v>
      </c>
      <c r="B288" s="6" t="s">
        <v>22</v>
      </c>
      <c r="C288" s="6">
        <v>24337.5</v>
      </c>
      <c r="D288" s="6">
        <v>2159350.5</v>
      </c>
      <c r="E288" s="7">
        <f t="array" ref="E288">_xlfn.XLOOKUP($K288,
         'Лист2'!$G$2:$G$505,
         'Лист2'!$C$2:$C$505,
         "не найдено")</f>
        <v>19</v>
      </c>
      <c r="F288" s="7">
        <f t="array" ref="F288">_xlfn.XLOOKUP($K288,
         'Лист2'!$G$2:$G$505,
         'Лист2'!$D$2:$D$505,
         "не найдено")</f>
        <v>1509</v>
      </c>
      <c r="G288" s="7">
        <f t="array" ref="G288">_xlfn.XLOOKUP($K288,
         'Лист2'!$G$2:$G$505,
         'Лист2'!$D$2:$D$505,
         "не найдено")</f>
        <v>1509</v>
      </c>
      <c r="H288" s="8">
        <f t="shared" si="1"/>
        <v>113650.0263</v>
      </c>
      <c r="I288" s="8">
        <f t="shared" si="2"/>
        <v>19</v>
      </c>
      <c r="K288" s="8" t="str">
        <f t="shared" si="3"/>
        <v>43957|Краснодар</v>
      </c>
    </row>
    <row r="289" ht="14.25" customHeight="1">
      <c r="A289" s="10">
        <v>43974.0</v>
      </c>
      <c r="B289" s="11" t="s">
        <v>22</v>
      </c>
      <c r="C289" s="11">
        <v>36997.5</v>
      </c>
      <c r="D289" s="11">
        <v>3089140.5</v>
      </c>
      <c r="E289" s="7">
        <f t="array" ref="E289">_xlfn.XLOOKUP($K289,
         'Лист2'!$G$2:$G$505,
         'Лист2'!$C$2:$C$505,
         "не найдено")</f>
        <v>19</v>
      </c>
      <c r="F289" s="7">
        <f t="array" ref="F289">_xlfn.XLOOKUP($K289,
         'Лист2'!$G$2:$G$505,
         'Лист2'!$D$2:$D$505,
         "не найдено")</f>
        <v>2195</v>
      </c>
      <c r="G289" s="7">
        <f t="array" ref="G289">_xlfn.XLOOKUP($K289,
         'Лист2'!$G$2:$G$505,
         'Лист2'!$D$2:$D$505,
         "не найдено")</f>
        <v>2195</v>
      </c>
      <c r="H289" s="8">
        <f t="shared" si="1"/>
        <v>162586.3421</v>
      </c>
      <c r="I289" s="8">
        <f t="shared" si="2"/>
        <v>21</v>
      </c>
      <c r="K289" s="8" t="str">
        <f t="shared" si="3"/>
        <v>43974|Краснодар</v>
      </c>
    </row>
    <row r="290" ht="14.25" customHeight="1">
      <c r="A290" s="5">
        <v>43979.0</v>
      </c>
      <c r="B290" s="6" t="s">
        <v>24</v>
      </c>
      <c r="C290" s="6">
        <v>13864.5</v>
      </c>
      <c r="D290" s="6">
        <v>1239747.0</v>
      </c>
      <c r="E290" s="7">
        <f t="array" ref="E290">_xlfn.XLOOKUP($K290,
         'Лист2'!$G$2:$G$505,
         'Лист2'!$C$2:$C$505,
         "не найдено")</f>
        <v>16</v>
      </c>
      <c r="F290" s="7">
        <f t="array" ref="F290">_xlfn.XLOOKUP($K290,
         'Лист2'!$G$2:$G$505,
         'Лист2'!$D$2:$D$505,
         "не найдено")</f>
        <v>876</v>
      </c>
      <c r="G290" s="7">
        <f t="array" ref="G290">_xlfn.XLOOKUP($K290,
         'Лист2'!$G$2:$G$505,
         'Лист2'!$D$2:$D$505,
         "не найдено")</f>
        <v>876</v>
      </c>
      <c r="H290" s="8">
        <f t="shared" si="1"/>
        <v>77484.1875</v>
      </c>
      <c r="I290" s="8">
        <f t="shared" si="2"/>
        <v>22</v>
      </c>
      <c r="K290" s="8" t="str">
        <f t="shared" si="3"/>
        <v>43979|Ростов-на-Дону</v>
      </c>
    </row>
    <row r="291" ht="14.25" customHeight="1">
      <c r="A291" s="10">
        <v>43976.0</v>
      </c>
      <c r="B291" s="11" t="s">
        <v>22</v>
      </c>
      <c r="C291" s="11">
        <v>28494.0</v>
      </c>
      <c r="D291" s="11">
        <v>2512803.0</v>
      </c>
      <c r="E291" s="7">
        <f t="array" ref="E291">_xlfn.XLOOKUP($K291,
         'Лист2'!$G$2:$G$505,
         'Лист2'!$C$2:$C$505,
         "не найдено")</f>
        <v>20</v>
      </c>
      <c r="F291" s="7">
        <f t="array" ref="F291">_xlfn.XLOOKUP($K291,
         'Лист2'!$G$2:$G$505,
         'Лист2'!$D$2:$D$505,
         "не найдено")</f>
        <v>1899</v>
      </c>
      <c r="G291" s="7">
        <f t="array" ref="G291">_xlfn.XLOOKUP($K291,
         'Лист2'!$G$2:$G$505,
         'Лист2'!$D$2:$D$505,
         "не найдено")</f>
        <v>1899</v>
      </c>
      <c r="H291" s="8">
        <f t="shared" si="1"/>
        <v>125640.15</v>
      </c>
      <c r="I291" s="8">
        <f t="shared" si="2"/>
        <v>22</v>
      </c>
      <c r="K291" s="8" t="str">
        <f t="shared" si="3"/>
        <v>43976|Краснодар</v>
      </c>
    </row>
    <row r="292" ht="14.25" customHeight="1">
      <c r="A292" s="5">
        <v>43951.0</v>
      </c>
      <c r="B292" s="6" t="s">
        <v>22</v>
      </c>
      <c r="C292" s="6">
        <v>27883.5</v>
      </c>
      <c r="D292" s="6">
        <v>2560080.0</v>
      </c>
      <c r="E292" s="7">
        <f t="array" ref="E292">_xlfn.XLOOKUP($K292,
         'Лист2'!$G$2:$G$505,
         'Лист2'!$C$2:$C$505,
         "не найдено")</f>
        <v>19</v>
      </c>
      <c r="F292" s="7">
        <f t="array" ref="F292">_xlfn.XLOOKUP($K292,
         'Лист2'!$G$2:$G$505,
         'Лист2'!$D$2:$D$505,
         "не найдено")</f>
        <v>1662</v>
      </c>
      <c r="G292" s="7">
        <f t="array" ref="G292">_xlfn.XLOOKUP($K292,
         'Лист2'!$G$2:$G$505,
         'Лист2'!$D$2:$D$505,
         "не найдено")</f>
        <v>1662</v>
      </c>
      <c r="H292" s="8">
        <f t="shared" si="1"/>
        <v>134741.0526</v>
      </c>
      <c r="I292" s="8">
        <f t="shared" si="2"/>
        <v>18</v>
      </c>
      <c r="K292" s="8" t="str">
        <f t="shared" si="3"/>
        <v>43951|Краснодар</v>
      </c>
    </row>
    <row r="293" ht="14.25" customHeight="1">
      <c r="A293" s="10">
        <v>43961.0</v>
      </c>
      <c r="B293" s="11" t="s">
        <v>22</v>
      </c>
      <c r="C293" s="11">
        <v>31224.0</v>
      </c>
      <c r="D293" s="11">
        <v>2767270.5</v>
      </c>
      <c r="E293" s="7">
        <f t="array" ref="E293">_xlfn.XLOOKUP($K293,
         'Лист2'!$G$2:$G$505,
         'Лист2'!$C$2:$C$505,
         "не найдено")</f>
        <v>19</v>
      </c>
      <c r="F293" s="7">
        <f t="array" ref="F293">_xlfn.XLOOKUP($K293,
         'Лист2'!$G$2:$G$505,
         'Лист2'!$D$2:$D$505,
         "не найдено")</f>
        <v>1836</v>
      </c>
      <c r="G293" s="7">
        <f t="array" ref="G293">_xlfn.XLOOKUP($K293,
         'Лист2'!$G$2:$G$505,
         'Лист2'!$D$2:$D$505,
         "не найдено")</f>
        <v>1836</v>
      </c>
      <c r="H293" s="8">
        <f t="shared" si="1"/>
        <v>145645.8158</v>
      </c>
      <c r="I293" s="8">
        <f t="shared" si="2"/>
        <v>19</v>
      </c>
      <c r="K293" s="8" t="str">
        <f t="shared" si="3"/>
        <v>43961|Краснодар</v>
      </c>
    </row>
    <row r="294" ht="14.25" customHeight="1">
      <c r="A294" s="5">
        <v>43959.0</v>
      </c>
      <c r="B294" s="6" t="s">
        <v>22</v>
      </c>
      <c r="C294" s="6">
        <v>25020.0</v>
      </c>
      <c r="D294" s="6">
        <v>2235960.0</v>
      </c>
      <c r="E294" s="7">
        <f t="array" ref="E294">_xlfn.XLOOKUP($K294,
         'Лист2'!$G$2:$G$505,
         'Лист2'!$C$2:$C$505,
         "не найдено")</f>
        <v>19</v>
      </c>
      <c r="F294" s="7">
        <f t="array" ref="F294">_xlfn.XLOOKUP($K294,
         'Лист2'!$G$2:$G$505,
         'Лист2'!$D$2:$D$505,
         "не найдено")</f>
        <v>1520</v>
      </c>
      <c r="G294" s="7">
        <f t="array" ref="G294">_xlfn.XLOOKUP($K294,
         'Лист2'!$G$2:$G$505,
         'Лист2'!$D$2:$D$505,
         "не найдено")</f>
        <v>1520</v>
      </c>
      <c r="H294" s="8">
        <f t="shared" si="1"/>
        <v>117682.1053</v>
      </c>
      <c r="I294" s="8">
        <f t="shared" si="2"/>
        <v>19</v>
      </c>
      <c r="K294" s="8" t="str">
        <f t="shared" si="3"/>
        <v>43959|Краснодар</v>
      </c>
    </row>
    <row r="295" ht="14.25" customHeight="1">
      <c r="A295" s="10">
        <v>43958.0</v>
      </c>
      <c r="B295" s="11" t="s">
        <v>22</v>
      </c>
      <c r="C295" s="11">
        <v>26184.0</v>
      </c>
      <c r="D295" s="11">
        <v>2308336.5</v>
      </c>
      <c r="E295" s="7">
        <f t="array" ref="E295">_xlfn.XLOOKUP($K295,
         'Лист2'!$G$2:$G$505,
         'Лист2'!$C$2:$C$505,
         "не найдено")</f>
        <v>19</v>
      </c>
      <c r="F295" s="7">
        <f t="array" ref="F295">_xlfn.XLOOKUP($K295,
         'Лист2'!$G$2:$G$505,
         'Лист2'!$D$2:$D$505,
         "не найдено")</f>
        <v>1580</v>
      </c>
      <c r="G295" s="7">
        <f t="array" ref="G295">_xlfn.XLOOKUP($K295,
         'Лист2'!$G$2:$G$505,
         'Лист2'!$D$2:$D$505,
         "не найдено")</f>
        <v>1580</v>
      </c>
      <c r="H295" s="8">
        <f t="shared" si="1"/>
        <v>121491.3947</v>
      </c>
      <c r="I295" s="8">
        <f t="shared" si="2"/>
        <v>19</v>
      </c>
      <c r="K295" s="8" t="str">
        <f t="shared" si="3"/>
        <v>43958|Краснодар</v>
      </c>
    </row>
    <row r="296" ht="14.25" customHeight="1">
      <c r="A296" s="5">
        <v>43975.0</v>
      </c>
      <c r="B296" s="6" t="s">
        <v>22</v>
      </c>
      <c r="C296" s="6">
        <v>29824.5</v>
      </c>
      <c r="D296" s="6">
        <v>2526909.0</v>
      </c>
      <c r="E296" s="7">
        <f t="array" ref="E296">_xlfn.XLOOKUP($K296,
         'Лист2'!$G$2:$G$505,
         'Лист2'!$C$2:$C$505,
         "не найдено")</f>
        <v>19</v>
      </c>
      <c r="F296" s="7">
        <f t="array" ref="F296">_xlfn.XLOOKUP($K296,
         'Лист2'!$G$2:$G$505,
         'Лист2'!$D$2:$D$505,
         "не найдено")</f>
        <v>1868</v>
      </c>
      <c r="G296" s="7">
        <f t="array" ref="G296">_xlfn.XLOOKUP($K296,
         'Лист2'!$G$2:$G$505,
         'Лист2'!$D$2:$D$505,
         "не найдено")</f>
        <v>1868</v>
      </c>
      <c r="H296" s="8">
        <f t="shared" si="1"/>
        <v>132995.2105</v>
      </c>
      <c r="I296" s="8">
        <f t="shared" si="2"/>
        <v>21</v>
      </c>
      <c r="K296" s="8" t="str">
        <f t="shared" si="3"/>
        <v>43975|Краснодар</v>
      </c>
    </row>
    <row r="297" ht="14.25" customHeight="1">
      <c r="A297" s="10">
        <v>43950.0</v>
      </c>
      <c r="B297" s="11" t="s">
        <v>15</v>
      </c>
      <c r="C297" s="11">
        <v>208351.5</v>
      </c>
      <c r="D297" s="11">
        <v>2.1615333E7</v>
      </c>
      <c r="E297" s="7">
        <f t="array" ref="E297">_xlfn.XLOOKUP($K297,
         'Лист2'!$G$2:$G$505,
         'Лист2'!$C$2:$C$505,
         "не найдено")</f>
        <v>59</v>
      </c>
      <c r="F297" s="7">
        <f t="array" ref="F297">_xlfn.XLOOKUP($K297,
         'Лист2'!$G$2:$G$505,
         'Лист2'!$D$2:$D$505,
         "не найдено")</f>
        <v>13186</v>
      </c>
      <c r="G297" s="7">
        <f t="array" ref="G297">_xlfn.XLOOKUP($K297,
         'Лист2'!$G$2:$G$505,
         'Лист2'!$D$2:$D$505,
         "не найдено")</f>
        <v>13186</v>
      </c>
      <c r="H297" s="8">
        <f t="shared" si="1"/>
        <v>366361.5763</v>
      </c>
      <c r="I297" s="8">
        <f t="shared" si="2"/>
        <v>18</v>
      </c>
      <c r="K297" s="8" t="str">
        <f t="shared" si="3"/>
        <v>43950|Москва Запад</v>
      </c>
    </row>
    <row r="298" ht="14.25" customHeight="1">
      <c r="A298" s="5">
        <v>43949.0</v>
      </c>
      <c r="B298" s="6" t="s">
        <v>15</v>
      </c>
      <c r="C298" s="6">
        <v>204637.5</v>
      </c>
      <c r="D298" s="6">
        <v>2.11148985E7</v>
      </c>
      <c r="E298" s="7">
        <f t="array" ref="E298">_xlfn.XLOOKUP($K298,
         'Лист2'!$G$2:$G$505,
         'Лист2'!$C$2:$C$505,
         "не найдено")</f>
        <v>59</v>
      </c>
      <c r="F298" s="7">
        <f t="array" ref="F298">_xlfn.XLOOKUP($K298,
         'Лист2'!$G$2:$G$505,
         'Лист2'!$D$2:$D$505,
         "не найдено")</f>
        <v>12943</v>
      </c>
      <c r="G298" s="7">
        <f t="array" ref="G298">_xlfn.XLOOKUP($K298,
         'Лист2'!$G$2:$G$505,
         'Лист2'!$D$2:$D$505,
         "не найдено")</f>
        <v>12943</v>
      </c>
      <c r="H298" s="8">
        <f t="shared" si="1"/>
        <v>357879.6356</v>
      </c>
      <c r="I298" s="8">
        <f t="shared" si="2"/>
        <v>18</v>
      </c>
      <c r="K298" s="8" t="str">
        <f t="shared" si="3"/>
        <v>43949|Москва Запад</v>
      </c>
    </row>
    <row r="299" ht="14.25" customHeight="1">
      <c r="A299" s="10">
        <v>43982.0</v>
      </c>
      <c r="B299" s="11" t="s">
        <v>22</v>
      </c>
      <c r="C299" s="11">
        <v>31372.5</v>
      </c>
      <c r="D299" s="11">
        <v>2794324.5</v>
      </c>
      <c r="E299" s="7">
        <f t="array" ref="E299">_xlfn.XLOOKUP($K299,
         'Лист2'!$G$2:$G$505,
         'Лист2'!$C$2:$C$505,
         "не найдено")</f>
        <v>21</v>
      </c>
      <c r="F299" s="7">
        <f t="array" ref="F299">_xlfn.XLOOKUP($K299,
         'Лист2'!$G$2:$G$505,
         'Лист2'!$D$2:$D$505,
         "не найдено")</f>
        <v>2056</v>
      </c>
      <c r="G299" s="7">
        <f t="array" ref="G299">_xlfn.XLOOKUP($K299,
         'Лист2'!$G$2:$G$505,
         'Лист2'!$D$2:$D$505,
         "не найдено")</f>
        <v>2056</v>
      </c>
      <c r="H299" s="8">
        <f t="shared" si="1"/>
        <v>133063.0714</v>
      </c>
      <c r="I299" s="8">
        <f t="shared" si="2"/>
        <v>22</v>
      </c>
      <c r="K299" s="8" t="str">
        <f t="shared" si="3"/>
        <v>43982|Краснодар</v>
      </c>
    </row>
    <row r="300" ht="14.25" customHeight="1">
      <c r="A300" s="5">
        <v>43981.0</v>
      </c>
      <c r="B300" s="6" t="s">
        <v>22</v>
      </c>
      <c r="C300" s="6">
        <v>34681.5</v>
      </c>
      <c r="D300" s="6">
        <v>3005334.0</v>
      </c>
      <c r="E300" s="7">
        <f t="array" ref="E300">_xlfn.XLOOKUP($K300,
         'Лист2'!$G$2:$G$505,
         'Лист2'!$C$2:$C$505,
         "не найдено")</f>
        <v>20</v>
      </c>
      <c r="F300" s="7">
        <f t="array" ref="F300">_xlfn.XLOOKUP($K300,
         'Лист2'!$G$2:$G$505,
         'Лист2'!$D$2:$D$505,
         "не найдено")</f>
        <v>2174</v>
      </c>
      <c r="G300" s="7">
        <f t="array" ref="G300">_xlfn.XLOOKUP($K300,
         'Лист2'!$G$2:$G$505,
         'Лист2'!$D$2:$D$505,
         "не найдено")</f>
        <v>2174</v>
      </c>
      <c r="H300" s="8">
        <f t="shared" si="1"/>
        <v>150266.7</v>
      </c>
      <c r="I300" s="8">
        <f t="shared" si="2"/>
        <v>22</v>
      </c>
      <c r="K300" s="8" t="str">
        <f t="shared" si="3"/>
        <v>43981|Краснодар</v>
      </c>
    </row>
    <row r="301" ht="14.25" customHeight="1">
      <c r="A301" s="10">
        <v>43979.0</v>
      </c>
      <c r="B301" s="11" t="s">
        <v>22</v>
      </c>
      <c r="C301" s="11">
        <v>28197.0</v>
      </c>
      <c r="D301" s="11">
        <v>2559211.5</v>
      </c>
      <c r="E301" s="7">
        <f t="array" ref="E301">_xlfn.XLOOKUP($K301,
         'Лист2'!$G$2:$G$505,
         'Лист2'!$C$2:$C$505,
         "не найдено")</f>
        <v>20</v>
      </c>
      <c r="F301" s="7">
        <f t="array" ref="F301">_xlfn.XLOOKUP($K301,
         'Лист2'!$G$2:$G$505,
         'Лист2'!$D$2:$D$505,
         "не найдено")</f>
        <v>1875</v>
      </c>
      <c r="G301" s="7">
        <f t="array" ref="G301">_xlfn.XLOOKUP($K301,
         'Лист2'!$G$2:$G$505,
         'Лист2'!$D$2:$D$505,
         "не найдено")</f>
        <v>1875</v>
      </c>
      <c r="H301" s="8">
        <f t="shared" si="1"/>
        <v>127960.575</v>
      </c>
      <c r="I301" s="8">
        <f t="shared" si="2"/>
        <v>22</v>
      </c>
      <c r="K301" s="8" t="str">
        <f t="shared" si="3"/>
        <v>43979|Краснодар</v>
      </c>
    </row>
    <row r="302" ht="14.25" customHeight="1">
      <c r="A302" s="5">
        <v>43967.0</v>
      </c>
      <c r="B302" s="6" t="s">
        <v>15</v>
      </c>
      <c r="C302" s="6">
        <v>236551.5</v>
      </c>
      <c r="D302" s="6">
        <v>2.3689383E7</v>
      </c>
      <c r="E302" s="7">
        <f t="array" ref="E302">_xlfn.XLOOKUP($K302,
         'Лист2'!$G$2:$G$505,
         'Лист2'!$C$2:$C$505,
         "не найдено")</f>
        <v>60</v>
      </c>
      <c r="F302" s="7">
        <f t="array" ref="F302">_xlfn.XLOOKUP($K302,
         'Лист2'!$G$2:$G$505,
         'Лист2'!$D$2:$D$505,
         "не найдено")</f>
        <v>14049</v>
      </c>
      <c r="G302" s="7">
        <f t="array" ref="G302">_xlfn.XLOOKUP($K302,
         'Лист2'!$G$2:$G$505,
         'Лист2'!$D$2:$D$505,
         "не найдено")</f>
        <v>14049</v>
      </c>
      <c r="H302" s="8">
        <f t="shared" si="1"/>
        <v>394823.05</v>
      </c>
      <c r="I302" s="8">
        <f t="shared" si="2"/>
        <v>20</v>
      </c>
      <c r="K302" s="8" t="str">
        <f t="shared" si="3"/>
        <v>43967|Москва Запад</v>
      </c>
    </row>
    <row r="303" ht="14.25" customHeight="1">
      <c r="A303" s="10">
        <v>43970.0</v>
      </c>
      <c r="B303" s="11" t="s">
        <v>15</v>
      </c>
      <c r="C303" s="11">
        <v>223597.5</v>
      </c>
      <c r="D303" s="11">
        <v>2.1945858E7</v>
      </c>
      <c r="E303" s="7">
        <f t="array" ref="E303">_xlfn.XLOOKUP($K303,
         'Лист2'!$G$2:$G$505,
         'Лист2'!$C$2:$C$505,
         "не найдено")</f>
        <v>60</v>
      </c>
      <c r="F303" s="7">
        <f t="array" ref="F303">_xlfn.XLOOKUP($K303,
         'Лист2'!$G$2:$G$505,
         'Лист2'!$D$2:$D$505,
         "не найдено")</f>
        <v>13867</v>
      </c>
      <c r="G303" s="7">
        <f t="array" ref="G303">_xlfn.XLOOKUP($K303,
         'Лист2'!$G$2:$G$505,
         'Лист2'!$D$2:$D$505,
         "не найдено")</f>
        <v>13867</v>
      </c>
      <c r="H303" s="8">
        <f t="shared" si="1"/>
        <v>365764.3</v>
      </c>
      <c r="I303" s="8">
        <f t="shared" si="2"/>
        <v>21</v>
      </c>
      <c r="K303" s="8" t="str">
        <f t="shared" si="3"/>
        <v>43970|Москва Запад</v>
      </c>
    </row>
    <row r="304" ht="14.25" customHeight="1">
      <c r="A304" s="5">
        <v>43968.0</v>
      </c>
      <c r="B304" s="6" t="s">
        <v>15</v>
      </c>
      <c r="C304" s="6">
        <v>193363.5</v>
      </c>
      <c r="D304" s="6">
        <v>1.9546386E7</v>
      </c>
      <c r="E304" s="7">
        <f t="array" ref="E304">_xlfn.XLOOKUP($K304,
         'Лист2'!$G$2:$G$505,
         'Лист2'!$C$2:$C$505,
         "не найдено")</f>
        <v>60</v>
      </c>
      <c r="F304" s="7">
        <f t="array" ref="F304">_xlfn.XLOOKUP($K304,
         'Лист2'!$G$2:$G$505,
         'Лист2'!$D$2:$D$505,
         "не найдено")</f>
        <v>11698</v>
      </c>
      <c r="G304" s="7">
        <f t="array" ref="G304">_xlfn.XLOOKUP($K304,
         'Лист2'!$G$2:$G$505,
         'Лист2'!$D$2:$D$505,
         "не найдено")</f>
        <v>11698</v>
      </c>
      <c r="H304" s="8">
        <f t="shared" si="1"/>
        <v>325773.1</v>
      </c>
      <c r="I304" s="8">
        <f t="shared" si="2"/>
        <v>20</v>
      </c>
      <c r="K304" s="8" t="str">
        <f t="shared" si="3"/>
        <v>43968|Москва Запад</v>
      </c>
    </row>
    <row r="305" ht="14.25" customHeight="1">
      <c r="A305" s="10">
        <v>43960.0</v>
      </c>
      <c r="B305" s="11" t="s">
        <v>15</v>
      </c>
      <c r="C305" s="11">
        <v>188319.0</v>
      </c>
      <c r="D305" s="11">
        <v>1.92186315E7</v>
      </c>
      <c r="E305" s="7">
        <f t="array" ref="E305">_xlfn.XLOOKUP($K305,
         'Лист2'!$G$2:$G$505,
         'Лист2'!$C$2:$C$505,
         "не найдено")</f>
        <v>59</v>
      </c>
      <c r="F305" s="7">
        <f t="array" ref="F305">_xlfn.XLOOKUP($K305,
         'Лист2'!$G$2:$G$505,
         'Лист2'!$D$2:$D$505,
         "не найдено")</f>
        <v>12016</v>
      </c>
      <c r="G305" s="7">
        <f t="array" ref="G305">_xlfn.XLOOKUP($K305,
         'Лист2'!$G$2:$G$505,
         'Лист2'!$D$2:$D$505,
         "не найдено")</f>
        <v>12016</v>
      </c>
      <c r="H305" s="8">
        <f t="shared" si="1"/>
        <v>325739.5169</v>
      </c>
      <c r="I305" s="8">
        <f t="shared" si="2"/>
        <v>19</v>
      </c>
      <c r="K305" s="8" t="str">
        <f t="shared" si="3"/>
        <v>43960|Москва Запад</v>
      </c>
    </row>
    <row r="306" ht="14.25" customHeight="1">
      <c r="A306" s="5">
        <v>43955.0</v>
      </c>
      <c r="B306" s="6" t="s">
        <v>15</v>
      </c>
      <c r="C306" s="6">
        <v>237544.5</v>
      </c>
      <c r="D306" s="6">
        <v>2.4292218E7</v>
      </c>
      <c r="E306" s="7">
        <f t="array" ref="E306">_xlfn.XLOOKUP($K306,
         'Лист2'!$G$2:$G$505,
         'Лист2'!$C$2:$C$505,
         "не найдено")</f>
        <v>59</v>
      </c>
      <c r="F306" s="7">
        <f t="array" ref="F306">_xlfn.XLOOKUP($K306,
         'Лист2'!$G$2:$G$505,
         'Лист2'!$D$2:$D$505,
         "не найдено")</f>
        <v>14423</v>
      </c>
      <c r="G306" s="7">
        <f t="array" ref="G306">_xlfn.XLOOKUP($K306,
         'Лист2'!$G$2:$G$505,
         'Лист2'!$D$2:$D$505,
         "не найдено")</f>
        <v>14423</v>
      </c>
      <c r="H306" s="8">
        <f t="shared" si="1"/>
        <v>411732.5085</v>
      </c>
      <c r="I306" s="8">
        <f t="shared" si="2"/>
        <v>19</v>
      </c>
      <c r="K306" s="8" t="str">
        <f t="shared" si="3"/>
        <v>43955|Москва Запад</v>
      </c>
    </row>
    <row r="307" ht="14.25" customHeight="1">
      <c r="A307" s="10">
        <v>43950.0</v>
      </c>
      <c r="B307" s="11" t="s">
        <v>13</v>
      </c>
      <c r="C307" s="11">
        <v>203209.5</v>
      </c>
      <c r="D307" s="11">
        <v>2.08713915E7</v>
      </c>
      <c r="E307" s="7">
        <f t="array" ref="E307">_xlfn.XLOOKUP($K307,
         'Лист2'!$G$2:$G$505,
         'Лист2'!$C$2:$C$505,
         "не найдено")</f>
        <v>54</v>
      </c>
      <c r="F307" s="7">
        <f t="array" ref="F307">_xlfn.XLOOKUP($K307,
         'Лист2'!$G$2:$G$505,
         'Лист2'!$D$2:$D$505,
         "не найдено")</f>
        <v>12747</v>
      </c>
      <c r="G307" s="7">
        <f t="array" ref="G307">_xlfn.XLOOKUP($K307,
         'Лист2'!$G$2:$G$505,
         'Лист2'!$D$2:$D$505,
         "не найдено")</f>
        <v>12747</v>
      </c>
      <c r="H307" s="8">
        <f t="shared" si="1"/>
        <v>386507.25</v>
      </c>
      <c r="I307" s="8">
        <f t="shared" si="2"/>
        <v>18</v>
      </c>
      <c r="K307" s="8" t="str">
        <f t="shared" si="3"/>
        <v>43950|Москва Восток</v>
      </c>
    </row>
    <row r="308" ht="14.25" customHeight="1">
      <c r="A308" s="5">
        <v>43953.0</v>
      </c>
      <c r="B308" s="6" t="s">
        <v>15</v>
      </c>
      <c r="C308" s="6">
        <v>185979.0</v>
      </c>
      <c r="D308" s="6">
        <v>1.9625364E7</v>
      </c>
      <c r="E308" s="7">
        <f t="array" ref="E308">_xlfn.XLOOKUP($K308,
         'Лист2'!$G$2:$G$505,
         'Лист2'!$C$2:$C$505,
         "не найдено")</f>
        <v>59</v>
      </c>
      <c r="F308" s="7">
        <f t="array" ref="F308">_xlfn.XLOOKUP($K308,
         'Лист2'!$G$2:$G$505,
         'Лист2'!$D$2:$D$505,
         "не найдено")</f>
        <v>12429</v>
      </c>
      <c r="G308" s="7">
        <f t="array" ref="G308">_xlfn.XLOOKUP($K308,
         'Лист2'!$G$2:$G$505,
         'Лист2'!$D$2:$D$505,
         "не найдено")</f>
        <v>12429</v>
      </c>
      <c r="H308" s="8">
        <f t="shared" si="1"/>
        <v>332633.2881</v>
      </c>
      <c r="I308" s="8">
        <f t="shared" si="2"/>
        <v>18</v>
      </c>
      <c r="K308" s="8" t="str">
        <f t="shared" si="3"/>
        <v>43953|Москва Запад</v>
      </c>
    </row>
    <row r="309" ht="14.25" customHeight="1">
      <c r="A309" s="10">
        <v>43977.0</v>
      </c>
      <c r="B309" s="11" t="s">
        <v>15</v>
      </c>
      <c r="C309" s="11">
        <v>244905.0</v>
      </c>
      <c r="D309" s="11">
        <v>2.51634315E7</v>
      </c>
      <c r="E309" s="7">
        <f t="array" ref="E309">_xlfn.XLOOKUP($K309,
         'Лист2'!$G$2:$G$505,
         'Лист2'!$C$2:$C$505,
         "не найдено")</f>
        <v>59</v>
      </c>
      <c r="F309" s="7">
        <f t="array" ref="F309">_xlfn.XLOOKUP($K309,
         'Лист2'!$G$2:$G$505,
         'Лист2'!$D$2:$D$505,
         "не найдено")</f>
        <v>15369</v>
      </c>
      <c r="G309" s="7">
        <f t="array" ref="G309">_xlfn.XLOOKUP($K309,
         'Лист2'!$G$2:$G$505,
         'Лист2'!$D$2:$D$505,
         "не найдено")</f>
        <v>15369</v>
      </c>
      <c r="H309" s="8">
        <f t="shared" si="1"/>
        <v>426498.839</v>
      </c>
      <c r="I309" s="8">
        <f t="shared" si="2"/>
        <v>22</v>
      </c>
      <c r="K309" s="8" t="str">
        <f t="shared" si="3"/>
        <v>43977|Москва Запад</v>
      </c>
    </row>
    <row r="310" ht="14.25" customHeight="1">
      <c r="A310" s="5">
        <v>43952.0</v>
      </c>
      <c r="B310" s="6" t="s">
        <v>15</v>
      </c>
      <c r="C310" s="6">
        <v>239409.0</v>
      </c>
      <c r="D310" s="6">
        <v>2.5413351E7</v>
      </c>
      <c r="E310" s="7">
        <f t="array" ref="E310">_xlfn.XLOOKUP($K310,
         'Лист2'!$G$2:$G$505,
         'Лист2'!$C$2:$C$505,
         "не найдено")</f>
        <v>59</v>
      </c>
      <c r="F310" s="7">
        <f t="array" ref="F310">_xlfn.XLOOKUP($K310,
         'Лист2'!$G$2:$G$505,
         'Лист2'!$D$2:$D$505,
         "не найдено")</f>
        <v>15222</v>
      </c>
      <c r="G310" s="7">
        <f t="array" ref="G310">_xlfn.XLOOKUP($K310,
         'Лист2'!$G$2:$G$505,
         'Лист2'!$D$2:$D$505,
         "не найдено")</f>
        <v>15222</v>
      </c>
      <c r="H310" s="8">
        <f t="shared" si="1"/>
        <v>430734.7627</v>
      </c>
      <c r="I310" s="8">
        <f t="shared" si="2"/>
        <v>18</v>
      </c>
      <c r="K310" s="8" t="str">
        <f t="shared" si="3"/>
        <v>43952|Москва Запад</v>
      </c>
    </row>
    <row r="311" ht="14.25" customHeight="1">
      <c r="A311" s="10">
        <v>43963.0</v>
      </c>
      <c r="B311" s="11" t="s">
        <v>15</v>
      </c>
      <c r="C311" s="11">
        <v>192886.5</v>
      </c>
      <c r="D311" s="11">
        <v>1.92051795E7</v>
      </c>
      <c r="E311" s="7">
        <f t="array" ref="E311">_xlfn.XLOOKUP($K311,
         'Лист2'!$G$2:$G$505,
         'Лист2'!$C$2:$C$505,
         "не найдено")</f>
        <v>60</v>
      </c>
      <c r="F311" s="7">
        <f t="array" ref="F311">_xlfn.XLOOKUP($K311,
         'Лист2'!$G$2:$G$505,
         'Лист2'!$D$2:$D$505,
         "не найдено")</f>
        <v>12000</v>
      </c>
      <c r="G311" s="7">
        <f t="array" ref="G311">_xlfn.XLOOKUP($K311,
         'Лист2'!$G$2:$G$505,
         'Лист2'!$D$2:$D$505,
         "не найдено")</f>
        <v>12000</v>
      </c>
      <c r="H311" s="8">
        <f t="shared" si="1"/>
        <v>320086.325</v>
      </c>
      <c r="I311" s="8">
        <f t="shared" si="2"/>
        <v>20</v>
      </c>
      <c r="K311" s="8" t="str">
        <f t="shared" si="3"/>
        <v>43963|Москва Запад</v>
      </c>
    </row>
    <row r="312" ht="14.25" customHeight="1">
      <c r="A312" s="5">
        <v>43972.0</v>
      </c>
      <c r="B312" s="6" t="s">
        <v>15</v>
      </c>
      <c r="C312" s="6">
        <v>224233.5</v>
      </c>
      <c r="D312" s="6">
        <v>2.2253295E7</v>
      </c>
      <c r="E312" s="7">
        <f t="array" ref="E312">_xlfn.XLOOKUP($K312,
         'Лист2'!$G$2:$G$505,
         'Лист2'!$C$2:$C$505,
         "не найдено")</f>
        <v>60</v>
      </c>
      <c r="F312" s="7">
        <f t="array" ref="F312">_xlfn.XLOOKUP($K312,
         'Лист2'!$G$2:$G$505,
         'Лист2'!$D$2:$D$505,
         "не найдено")</f>
        <v>14005</v>
      </c>
      <c r="G312" s="7">
        <f t="array" ref="G312">_xlfn.XLOOKUP($K312,
         'Лист2'!$G$2:$G$505,
         'Лист2'!$D$2:$D$505,
         "не найдено")</f>
        <v>14005</v>
      </c>
      <c r="H312" s="8">
        <f t="shared" si="1"/>
        <v>370888.25</v>
      </c>
      <c r="I312" s="8">
        <f t="shared" si="2"/>
        <v>21</v>
      </c>
      <c r="K312" s="8" t="str">
        <f t="shared" si="3"/>
        <v>43972|Москва Запад</v>
      </c>
    </row>
    <row r="313" ht="14.25" customHeight="1">
      <c r="A313" s="10">
        <v>43971.0</v>
      </c>
      <c r="B313" s="11" t="s">
        <v>15</v>
      </c>
      <c r="C313" s="11">
        <v>219622.5</v>
      </c>
      <c r="D313" s="11">
        <v>2.1959286E7</v>
      </c>
      <c r="E313" s="7">
        <f t="array" ref="E313">_xlfn.XLOOKUP($K313,
         'Лист2'!$G$2:$G$505,
         'Лист2'!$C$2:$C$505,
         "не найдено")</f>
        <v>60</v>
      </c>
      <c r="F313" s="7">
        <f t="array" ref="F313">_xlfn.XLOOKUP($K313,
         'Лист2'!$G$2:$G$505,
         'Лист2'!$D$2:$D$505,
         "не найдено")</f>
        <v>13792</v>
      </c>
      <c r="G313" s="7">
        <f t="array" ref="G313">_xlfn.XLOOKUP($K313,
         'Лист2'!$G$2:$G$505,
         'Лист2'!$D$2:$D$505,
         "не найдено")</f>
        <v>13792</v>
      </c>
      <c r="H313" s="8">
        <f t="shared" si="1"/>
        <v>365988.1</v>
      </c>
      <c r="I313" s="8">
        <f t="shared" si="2"/>
        <v>21</v>
      </c>
      <c r="K313" s="8" t="str">
        <f t="shared" si="3"/>
        <v>43971|Москва Запад</v>
      </c>
    </row>
    <row r="314" ht="14.25" customHeight="1">
      <c r="A314" s="5">
        <v>43956.0</v>
      </c>
      <c r="B314" s="6" t="s">
        <v>15</v>
      </c>
      <c r="C314" s="6">
        <v>213582.0</v>
      </c>
      <c r="D314" s="6">
        <v>2.19194355E7</v>
      </c>
      <c r="E314" s="7">
        <f t="array" ref="E314">_xlfn.XLOOKUP($K314,
         'Лист2'!$G$2:$G$505,
         'Лист2'!$C$2:$C$505,
         "не найдено")</f>
        <v>59</v>
      </c>
      <c r="F314" s="7">
        <f t="array" ref="F314">_xlfn.XLOOKUP($K314,
         'Лист2'!$G$2:$G$505,
         'Лист2'!$D$2:$D$505,
         "не найдено")</f>
        <v>13469</v>
      </c>
      <c r="G314" s="7">
        <f t="array" ref="G314">_xlfn.XLOOKUP($K314,
         'Лист2'!$G$2:$G$505,
         'Лист2'!$D$2:$D$505,
         "не найдено")</f>
        <v>13469</v>
      </c>
      <c r="H314" s="8">
        <f t="shared" si="1"/>
        <v>371515.8559</v>
      </c>
      <c r="I314" s="8">
        <f t="shared" si="2"/>
        <v>19</v>
      </c>
      <c r="K314" s="8" t="str">
        <f t="shared" si="3"/>
        <v>43956|Москва Запад</v>
      </c>
    </row>
    <row r="315" ht="14.25" customHeight="1">
      <c r="A315" s="10">
        <v>43949.0</v>
      </c>
      <c r="B315" s="11" t="s">
        <v>13</v>
      </c>
      <c r="C315" s="11">
        <v>195705.0</v>
      </c>
      <c r="D315" s="11">
        <v>2.00032635E7</v>
      </c>
      <c r="E315" s="7">
        <f t="array" ref="E315">_xlfn.XLOOKUP($K315,
         'Лист2'!$G$2:$G$505,
         'Лист2'!$C$2:$C$505,
         "не найдено")</f>
        <v>54</v>
      </c>
      <c r="F315" s="7">
        <f t="array" ref="F315">_xlfn.XLOOKUP($K315,
         'Лист2'!$G$2:$G$505,
         'Лист2'!$D$2:$D$505,
         "не найдено")</f>
        <v>12306</v>
      </c>
      <c r="G315" s="7">
        <f t="array" ref="G315">_xlfn.XLOOKUP($K315,
         'Лист2'!$G$2:$G$505,
         'Лист2'!$D$2:$D$505,
         "не найдено")</f>
        <v>12306</v>
      </c>
      <c r="H315" s="8">
        <f t="shared" si="1"/>
        <v>370430.8056</v>
      </c>
      <c r="I315" s="8">
        <f t="shared" si="2"/>
        <v>18</v>
      </c>
      <c r="K315" s="8" t="str">
        <f t="shared" si="3"/>
        <v>43949|Москва Восток</v>
      </c>
    </row>
    <row r="316" ht="14.25" customHeight="1">
      <c r="A316" s="5">
        <v>43964.0</v>
      </c>
      <c r="B316" s="6" t="s">
        <v>15</v>
      </c>
      <c r="C316" s="6">
        <v>193722.0</v>
      </c>
      <c r="D316" s="6">
        <v>1.9437273E7</v>
      </c>
      <c r="E316" s="7">
        <f t="array" ref="E316">_xlfn.XLOOKUP($K316,
         'Лист2'!$G$2:$G$505,
         'Лист2'!$C$2:$C$505,
         "не найдено")</f>
        <v>60</v>
      </c>
      <c r="F316" s="7">
        <f t="array" ref="F316">_xlfn.XLOOKUP($K316,
         'Лист2'!$G$2:$G$505,
         'Лист2'!$D$2:$D$505,
         "не найдено")</f>
        <v>12007</v>
      </c>
      <c r="G316" s="7">
        <f t="array" ref="G316">_xlfn.XLOOKUP($K316,
         'Лист2'!$G$2:$G$505,
         'Лист2'!$D$2:$D$505,
         "не найдено")</f>
        <v>12007</v>
      </c>
      <c r="H316" s="8">
        <f t="shared" si="1"/>
        <v>323954.55</v>
      </c>
      <c r="I316" s="8">
        <f t="shared" si="2"/>
        <v>20</v>
      </c>
      <c r="K316" s="8" t="str">
        <f t="shared" si="3"/>
        <v>43964|Москва Запад</v>
      </c>
    </row>
    <row r="317" ht="14.25" customHeight="1">
      <c r="A317" s="10">
        <v>43954.0</v>
      </c>
      <c r="B317" s="11" t="s">
        <v>15</v>
      </c>
      <c r="C317" s="11">
        <v>257215.5</v>
      </c>
      <c r="D317" s="11">
        <v>2.64922785E7</v>
      </c>
      <c r="E317" s="7">
        <f t="array" ref="E317">_xlfn.XLOOKUP($K317,
         'Лист2'!$G$2:$G$505,
         'Лист2'!$C$2:$C$505,
         "не найдено")</f>
        <v>59</v>
      </c>
      <c r="F317" s="7">
        <f t="array" ref="F317">_xlfn.XLOOKUP($K317,
         'Лист2'!$G$2:$G$505,
         'Лист2'!$D$2:$D$505,
         "не найдено")</f>
        <v>15277</v>
      </c>
      <c r="G317" s="7">
        <f t="array" ref="G317">_xlfn.XLOOKUP($K317,
         'Лист2'!$G$2:$G$505,
         'Лист2'!$D$2:$D$505,
         "не найдено")</f>
        <v>15277</v>
      </c>
      <c r="H317" s="8">
        <f t="shared" si="1"/>
        <v>449021.6695</v>
      </c>
      <c r="I317" s="8">
        <f t="shared" si="2"/>
        <v>18</v>
      </c>
      <c r="K317" s="8" t="str">
        <f t="shared" si="3"/>
        <v>43954|Москва Запад</v>
      </c>
    </row>
    <row r="318" ht="14.25" customHeight="1">
      <c r="A318" s="5">
        <v>43957.0</v>
      </c>
      <c r="B318" s="6" t="s">
        <v>15</v>
      </c>
      <c r="C318" s="6">
        <v>224779.5</v>
      </c>
      <c r="D318" s="6">
        <v>2.3032992E7</v>
      </c>
      <c r="E318" s="7">
        <f t="array" ref="E318">_xlfn.XLOOKUP($K318,
         'Лист2'!$G$2:$G$505,
         'Лист2'!$C$2:$C$505,
         "не найдено")</f>
        <v>59</v>
      </c>
      <c r="F318" s="7">
        <f t="array" ref="F318">_xlfn.XLOOKUP($K318,
         'Лист2'!$G$2:$G$505,
         'Лист2'!$D$2:$D$505,
         "не найдено")</f>
        <v>14103</v>
      </c>
      <c r="G318" s="7">
        <f t="array" ref="G318">_xlfn.XLOOKUP($K318,
         'Лист2'!$G$2:$G$505,
         'Лист2'!$D$2:$D$505,
         "не найдено")</f>
        <v>14103</v>
      </c>
      <c r="H318" s="8">
        <f t="shared" si="1"/>
        <v>390389.6949</v>
      </c>
      <c r="I318" s="8">
        <f t="shared" si="2"/>
        <v>19</v>
      </c>
      <c r="K318" s="8" t="str">
        <f t="shared" si="3"/>
        <v>43957|Москва Запад</v>
      </c>
    </row>
    <row r="319" ht="14.25" customHeight="1">
      <c r="A319" s="10">
        <v>43974.0</v>
      </c>
      <c r="B319" s="11" t="s">
        <v>15</v>
      </c>
      <c r="C319" s="11">
        <v>292018.5</v>
      </c>
      <c r="D319" s="11">
        <v>2.85909105E7</v>
      </c>
      <c r="E319" s="7">
        <f t="array" ref="E319">_xlfn.XLOOKUP($K319,
         'Лист2'!$G$2:$G$505,
         'Лист2'!$C$2:$C$505,
         "не найдено")</f>
        <v>60</v>
      </c>
      <c r="F319" s="7">
        <f t="array" ref="F319">_xlfn.XLOOKUP($K319,
         'Лист2'!$G$2:$G$505,
         'Лист2'!$D$2:$D$505,
         "не найдено")</f>
        <v>17295</v>
      </c>
      <c r="G319" s="7">
        <f t="array" ref="G319">_xlfn.XLOOKUP($K319,
         'Лист2'!$G$2:$G$505,
         'Лист2'!$D$2:$D$505,
         "не найдено")</f>
        <v>17295</v>
      </c>
      <c r="H319" s="8">
        <f t="shared" si="1"/>
        <v>476515.175</v>
      </c>
      <c r="I319" s="8">
        <f t="shared" si="2"/>
        <v>21</v>
      </c>
      <c r="K319" s="8" t="str">
        <f t="shared" si="3"/>
        <v>43974|Москва Запад</v>
      </c>
    </row>
    <row r="320" ht="14.25" customHeight="1">
      <c r="A320" s="5">
        <v>43976.0</v>
      </c>
      <c r="B320" s="6" t="s">
        <v>15</v>
      </c>
      <c r="C320" s="6">
        <v>198751.5</v>
      </c>
      <c r="D320" s="6">
        <v>2.05827435E7</v>
      </c>
      <c r="E320" s="7">
        <f t="array" ref="E320">_xlfn.XLOOKUP($K320,
         'Лист2'!$G$2:$G$505,
         'Лист2'!$C$2:$C$505,
         "не найдено")</f>
        <v>59</v>
      </c>
      <c r="F320" s="7">
        <f t="array" ref="F320">_xlfn.XLOOKUP($K320,
         'Лист2'!$G$2:$G$505,
         'Лист2'!$D$2:$D$505,
         "не найдено")</f>
        <v>12983</v>
      </c>
      <c r="G320" s="7">
        <f t="array" ref="G320">_xlfn.XLOOKUP($K320,
         'Лист2'!$G$2:$G$505,
         'Лист2'!$D$2:$D$505,
         "не найдено")</f>
        <v>12983</v>
      </c>
      <c r="H320" s="8">
        <f t="shared" si="1"/>
        <v>348860.0593</v>
      </c>
      <c r="I320" s="8">
        <f t="shared" si="2"/>
        <v>22</v>
      </c>
      <c r="K320" s="8" t="str">
        <f t="shared" si="3"/>
        <v>43976|Москва Запад</v>
      </c>
    </row>
    <row r="321" ht="14.25" customHeight="1">
      <c r="A321" s="10">
        <v>43951.0</v>
      </c>
      <c r="B321" s="11" t="s">
        <v>15</v>
      </c>
      <c r="C321" s="11">
        <v>214386.0</v>
      </c>
      <c r="D321" s="11">
        <v>2.253E7</v>
      </c>
      <c r="E321" s="7">
        <f t="array" ref="E321">_xlfn.XLOOKUP($K321,
         'Лист2'!$G$2:$G$505,
         'Лист2'!$C$2:$C$505,
         "не найдено")</f>
        <v>59</v>
      </c>
      <c r="F321" s="7">
        <f t="array" ref="F321">_xlfn.XLOOKUP($K321,
         'Лист2'!$G$2:$G$505,
         'Лист2'!$D$2:$D$505,
         "не найдено")</f>
        <v>13251</v>
      </c>
      <c r="G321" s="7">
        <f t="array" ref="G321">_xlfn.XLOOKUP($K321,
         'Лист2'!$G$2:$G$505,
         'Лист2'!$D$2:$D$505,
         "не найдено")</f>
        <v>13251</v>
      </c>
      <c r="H321" s="8">
        <f t="shared" si="1"/>
        <v>381864.4068</v>
      </c>
      <c r="I321" s="8">
        <f t="shared" si="2"/>
        <v>18</v>
      </c>
      <c r="K321" s="8" t="str">
        <f t="shared" si="3"/>
        <v>43951|Москва Запад</v>
      </c>
    </row>
    <row r="322" ht="14.25" customHeight="1">
      <c r="A322" s="5">
        <v>43961.0</v>
      </c>
      <c r="B322" s="6" t="s">
        <v>15</v>
      </c>
      <c r="C322" s="6">
        <v>243825.0</v>
      </c>
      <c r="D322" s="6">
        <v>2.48904045E7</v>
      </c>
      <c r="E322" s="7">
        <f t="array" ref="E322">_xlfn.XLOOKUP($K322,
         'Лист2'!$G$2:$G$505,
         'Лист2'!$C$2:$C$505,
         "не найдено")</f>
        <v>59</v>
      </c>
      <c r="F322" s="7">
        <f t="array" ref="F322">_xlfn.XLOOKUP($K322,
         'Лист2'!$G$2:$G$505,
         'Лист2'!$D$2:$D$505,
         "не найдено")</f>
        <v>14569</v>
      </c>
      <c r="G322" s="7">
        <f t="array" ref="G322">_xlfn.XLOOKUP($K322,
         'Лист2'!$G$2:$G$505,
         'Лист2'!$D$2:$D$505,
         "не найдено")</f>
        <v>14569</v>
      </c>
      <c r="H322" s="8">
        <f t="shared" si="1"/>
        <v>421871.2627</v>
      </c>
      <c r="I322" s="8">
        <f t="shared" si="2"/>
        <v>19</v>
      </c>
      <c r="K322" s="8" t="str">
        <f t="shared" si="3"/>
        <v>43961|Москва Запад</v>
      </c>
    </row>
    <row r="323" ht="14.25" customHeight="1">
      <c r="A323" s="10">
        <v>43959.0</v>
      </c>
      <c r="B323" s="11" t="s">
        <v>15</v>
      </c>
      <c r="C323" s="11">
        <v>232701.0</v>
      </c>
      <c r="D323" s="11">
        <v>2.38819485E7</v>
      </c>
      <c r="E323" s="7">
        <f t="array" ref="E323">_xlfn.XLOOKUP($K323,
         'Лист2'!$G$2:$G$505,
         'Лист2'!$C$2:$C$505,
         "не найдено")</f>
        <v>59</v>
      </c>
      <c r="F323" s="7">
        <f t="array" ref="F323">_xlfn.XLOOKUP($K323,
         'Лист2'!$G$2:$G$505,
         'Лист2'!$D$2:$D$505,
         "не найдено")</f>
        <v>14098</v>
      </c>
      <c r="G323" s="7">
        <f t="array" ref="G323">_xlfn.XLOOKUP($K323,
         'Лист2'!$G$2:$G$505,
         'Лист2'!$D$2:$D$505,
         "не найдено")</f>
        <v>14098</v>
      </c>
      <c r="H323" s="8">
        <f t="shared" si="1"/>
        <v>404778.7881</v>
      </c>
      <c r="I323" s="8">
        <f t="shared" si="2"/>
        <v>19</v>
      </c>
      <c r="K323" s="8" t="str">
        <f t="shared" si="3"/>
        <v>43959|Москва Запад</v>
      </c>
    </row>
    <row r="324" ht="14.25" customHeight="1">
      <c r="A324" s="5">
        <v>43958.0</v>
      </c>
      <c r="B324" s="6" t="s">
        <v>15</v>
      </c>
      <c r="C324" s="6">
        <v>219411.0</v>
      </c>
      <c r="D324" s="6">
        <v>2.246013E7</v>
      </c>
      <c r="E324" s="7">
        <f t="array" ref="E324">_xlfn.XLOOKUP($K324,
         'Лист2'!$G$2:$G$505,
         'Лист2'!$C$2:$C$505,
         "не найдено")</f>
        <v>59</v>
      </c>
      <c r="F324" s="7">
        <f t="array" ref="F324">_xlfn.XLOOKUP($K324,
         'Лист2'!$G$2:$G$505,
         'Лист2'!$D$2:$D$505,
         "не найдено")</f>
        <v>13495</v>
      </c>
      <c r="G324" s="7">
        <f t="array" ref="G324">_xlfn.XLOOKUP($K324,
         'Лист2'!$G$2:$G$505,
         'Лист2'!$D$2:$D$505,
         "не найдено")</f>
        <v>13495</v>
      </c>
      <c r="H324" s="8">
        <f t="shared" si="1"/>
        <v>380680.1695</v>
      </c>
      <c r="I324" s="8">
        <f t="shared" si="2"/>
        <v>19</v>
      </c>
      <c r="K324" s="8" t="str">
        <f t="shared" si="3"/>
        <v>43958|Москва Запад</v>
      </c>
    </row>
    <row r="325" ht="14.25" customHeight="1">
      <c r="A325" s="10">
        <v>43975.0</v>
      </c>
      <c r="B325" s="11" t="s">
        <v>15</v>
      </c>
      <c r="C325" s="11">
        <v>200029.5</v>
      </c>
      <c r="D325" s="11">
        <v>1.9959801E7</v>
      </c>
      <c r="E325" s="7">
        <f t="array" ref="E325">_xlfn.XLOOKUP($K325,
         'Лист2'!$G$2:$G$505,
         'Лист2'!$C$2:$C$505,
         "не найдено")</f>
        <v>60</v>
      </c>
      <c r="F325" s="7">
        <f t="array" ref="F325">_xlfn.XLOOKUP($K325,
         'Лист2'!$G$2:$G$505,
         'Лист2'!$D$2:$D$505,
         "не найдено")</f>
        <v>12822</v>
      </c>
      <c r="G325" s="7">
        <f t="array" ref="G325">_xlfn.XLOOKUP($K325,
         'Лист2'!$G$2:$G$505,
         'Лист2'!$D$2:$D$505,
         "не найдено")</f>
        <v>12822</v>
      </c>
      <c r="H325" s="8">
        <f t="shared" si="1"/>
        <v>332663.35</v>
      </c>
      <c r="I325" s="8">
        <f t="shared" si="2"/>
        <v>21</v>
      </c>
      <c r="K325" s="8" t="str">
        <f t="shared" si="3"/>
        <v>43975|Москва Запад</v>
      </c>
    </row>
    <row r="326" ht="14.25" customHeight="1">
      <c r="A326" s="5">
        <v>43967.0</v>
      </c>
      <c r="B326" s="6" t="s">
        <v>13</v>
      </c>
      <c r="C326" s="6">
        <v>225480.0</v>
      </c>
      <c r="D326" s="6">
        <v>2.23553385E7</v>
      </c>
      <c r="E326" s="7">
        <f t="array" ref="E326">_xlfn.XLOOKUP($K326,
         'Лист2'!$G$2:$G$505,
         'Лист2'!$C$2:$C$505,
         "не найдено")</f>
        <v>54</v>
      </c>
      <c r="F326" s="7">
        <f t="array" ref="F326">_xlfn.XLOOKUP($K326,
         'Лист2'!$G$2:$G$505,
         'Лист2'!$D$2:$D$505,
         "не найдено")</f>
        <v>13170</v>
      </c>
      <c r="G326" s="7">
        <f t="array" ref="G326">_xlfn.XLOOKUP($K326,
         'Лист2'!$G$2:$G$505,
         'Лист2'!$D$2:$D$505,
         "не найдено")</f>
        <v>13170</v>
      </c>
      <c r="H326" s="8">
        <f t="shared" si="1"/>
        <v>413987.75</v>
      </c>
      <c r="I326" s="8">
        <f t="shared" si="2"/>
        <v>20</v>
      </c>
      <c r="K326" s="8" t="str">
        <f t="shared" si="3"/>
        <v>43967|Москва Восток</v>
      </c>
    </row>
    <row r="327" ht="14.25" customHeight="1">
      <c r="A327" s="10">
        <v>43970.0</v>
      </c>
      <c r="B327" s="11" t="s">
        <v>13</v>
      </c>
      <c r="C327" s="11">
        <v>211453.5</v>
      </c>
      <c r="D327" s="11">
        <v>2.05900725E7</v>
      </c>
      <c r="E327" s="7">
        <f t="array" ref="E327">_xlfn.XLOOKUP($K327,
         'Лист2'!$G$2:$G$505,
         'Лист2'!$C$2:$C$505,
         "не найдено")</f>
        <v>54</v>
      </c>
      <c r="F327" s="7">
        <f t="array" ref="F327">_xlfn.XLOOKUP($K327,
         'Лист2'!$G$2:$G$505,
         'Лист2'!$D$2:$D$505,
         "не найдено")</f>
        <v>13070</v>
      </c>
      <c r="G327" s="7">
        <f t="array" ref="G327">_xlfn.XLOOKUP($K327,
         'Лист2'!$G$2:$G$505,
         'Лист2'!$D$2:$D$505,
         "не найдено")</f>
        <v>13070</v>
      </c>
      <c r="H327" s="8">
        <f t="shared" si="1"/>
        <v>381297.6389</v>
      </c>
      <c r="I327" s="8">
        <f t="shared" si="2"/>
        <v>21</v>
      </c>
      <c r="K327" s="8" t="str">
        <f t="shared" si="3"/>
        <v>43970|Москва Восток</v>
      </c>
    </row>
    <row r="328" ht="14.25" customHeight="1">
      <c r="A328" s="5">
        <v>43968.0</v>
      </c>
      <c r="B328" s="6" t="s">
        <v>13</v>
      </c>
      <c r="C328" s="6">
        <v>184801.5</v>
      </c>
      <c r="D328" s="6">
        <v>1.8449091E7</v>
      </c>
      <c r="E328" s="7">
        <f t="array" ref="E328">_xlfn.XLOOKUP($K328,
         'Лист2'!$G$2:$G$505,
         'Лист2'!$C$2:$C$505,
         "не найдено")</f>
        <v>54</v>
      </c>
      <c r="F328" s="7">
        <f t="array" ref="F328">_xlfn.XLOOKUP($K328,
         'Лист2'!$G$2:$G$505,
         'Лист2'!$D$2:$D$505,
         "не найдено")</f>
        <v>11128</v>
      </c>
      <c r="G328" s="7">
        <f t="array" ref="G328">_xlfn.XLOOKUP($K328,
         'Лист2'!$G$2:$G$505,
         'Лист2'!$D$2:$D$505,
         "не найдено")</f>
        <v>11128</v>
      </c>
      <c r="H328" s="8">
        <f t="shared" si="1"/>
        <v>341649.8333</v>
      </c>
      <c r="I328" s="8">
        <f t="shared" si="2"/>
        <v>20</v>
      </c>
      <c r="K328" s="8" t="str">
        <f t="shared" si="3"/>
        <v>43968|Москва Восток</v>
      </c>
    </row>
    <row r="329" ht="14.25" customHeight="1">
      <c r="A329" s="10">
        <v>43960.0</v>
      </c>
      <c r="B329" s="11" t="s">
        <v>13</v>
      </c>
      <c r="C329" s="11">
        <v>177976.5</v>
      </c>
      <c r="D329" s="11">
        <v>1.80857985E7</v>
      </c>
      <c r="E329" s="7">
        <f t="array" ref="E329">_xlfn.XLOOKUP($K329,
         'Лист2'!$G$2:$G$505,
         'Лист2'!$C$2:$C$505,
         "не найдено")</f>
        <v>54</v>
      </c>
      <c r="F329" s="7">
        <f t="array" ref="F329">_xlfn.XLOOKUP($K329,
         'Лист2'!$G$2:$G$505,
         'Лист2'!$D$2:$D$505,
         "не найдено")</f>
        <v>11288</v>
      </c>
      <c r="G329" s="7">
        <f t="array" ref="G329">_xlfn.XLOOKUP($K329,
         'Лист2'!$G$2:$G$505,
         'Лист2'!$D$2:$D$505,
         "не найдено")</f>
        <v>11288</v>
      </c>
      <c r="H329" s="8">
        <f t="shared" si="1"/>
        <v>334922.1944</v>
      </c>
      <c r="I329" s="8">
        <f t="shared" si="2"/>
        <v>19</v>
      </c>
      <c r="K329" s="8" t="str">
        <f t="shared" si="3"/>
        <v>43960|Москва Восток</v>
      </c>
    </row>
    <row r="330" ht="14.25" customHeight="1">
      <c r="A330" s="5">
        <v>43955.0</v>
      </c>
      <c r="B330" s="6" t="s">
        <v>13</v>
      </c>
      <c r="C330" s="6">
        <v>223617.0</v>
      </c>
      <c r="D330" s="6">
        <v>2.27968275E7</v>
      </c>
      <c r="E330" s="7">
        <f t="array" ref="E330">_xlfn.XLOOKUP($K330,
         'Лист2'!$G$2:$G$505,
         'Лист2'!$C$2:$C$505,
         "не найдено")</f>
        <v>54</v>
      </c>
      <c r="F330" s="7">
        <f t="array" ref="F330">_xlfn.XLOOKUP($K330,
         'Лист2'!$G$2:$G$505,
         'Лист2'!$D$2:$D$505,
         "не найдено")</f>
        <v>13606</v>
      </c>
      <c r="G330" s="7">
        <f t="array" ref="G330">_xlfn.XLOOKUP($K330,
         'Лист2'!$G$2:$G$505,
         'Лист2'!$D$2:$D$505,
         "не найдено")</f>
        <v>13606</v>
      </c>
      <c r="H330" s="8">
        <f t="shared" si="1"/>
        <v>422163.4722</v>
      </c>
      <c r="I330" s="8">
        <f t="shared" si="2"/>
        <v>19</v>
      </c>
      <c r="K330" s="8" t="str">
        <f t="shared" si="3"/>
        <v>43955|Москва Восток</v>
      </c>
    </row>
    <row r="331" ht="14.25" customHeight="1">
      <c r="A331" s="10">
        <v>43953.0</v>
      </c>
      <c r="B331" s="11" t="s">
        <v>13</v>
      </c>
      <c r="C331" s="11">
        <v>176397.0</v>
      </c>
      <c r="D331" s="11">
        <v>1.86259215E7</v>
      </c>
      <c r="E331" s="7">
        <f t="array" ref="E331">_xlfn.XLOOKUP($K331,
         'Лист2'!$G$2:$G$505,
         'Лист2'!$C$2:$C$505,
         "не найдено")</f>
        <v>54</v>
      </c>
      <c r="F331" s="7">
        <f t="array" ref="F331">_xlfn.XLOOKUP($K331,
         'Лист2'!$G$2:$G$505,
         'Лист2'!$D$2:$D$505,
         "не найдено")</f>
        <v>11622</v>
      </c>
      <c r="G331" s="7">
        <f t="array" ref="G331">_xlfn.XLOOKUP($K331,
         'Лист2'!$G$2:$G$505,
         'Лист2'!$D$2:$D$505,
         "не найдено")</f>
        <v>11622</v>
      </c>
      <c r="H331" s="8">
        <f t="shared" si="1"/>
        <v>344924.4722</v>
      </c>
      <c r="I331" s="8">
        <f t="shared" si="2"/>
        <v>18</v>
      </c>
      <c r="K331" s="8" t="str">
        <f t="shared" si="3"/>
        <v>43953|Москва Восток</v>
      </c>
    </row>
    <row r="332" ht="14.25" customHeight="1">
      <c r="A332" s="5">
        <v>43977.0</v>
      </c>
      <c r="B332" s="6" t="s">
        <v>13</v>
      </c>
      <c r="C332" s="6">
        <v>232369.5</v>
      </c>
      <c r="D332" s="6">
        <v>2.3856345E7</v>
      </c>
      <c r="E332" s="7">
        <f t="array" ref="E332">_xlfn.XLOOKUP($K332,
         'Лист2'!$G$2:$G$505,
         'Лист2'!$C$2:$C$505,
         "не найдено")</f>
        <v>54</v>
      </c>
      <c r="F332" s="7">
        <f t="array" ref="F332">_xlfn.XLOOKUP($K332,
         'Лист2'!$G$2:$G$505,
         'Лист2'!$D$2:$D$505,
         "не найдено")</f>
        <v>14482</v>
      </c>
      <c r="G332" s="7">
        <f t="array" ref="G332">_xlfn.XLOOKUP($K332,
         'Лист2'!$G$2:$G$505,
         'Лист2'!$D$2:$D$505,
         "не найдено")</f>
        <v>14482</v>
      </c>
      <c r="H332" s="8">
        <f t="shared" si="1"/>
        <v>441784.1667</v>
      </c>
      <c r="I332" s="8">
        <f t="shared" si="2"/>
        <v>22</v>
      </c>
      <c r="K332" s="8" t="str">
        <f t="shared" si="3"/>
        <v>43977|Москва Восток</v>
      </c>
    </row>
    <row r="333" ht="14.25" customHeight="1">
      <c r="A333" s="10">
        <v>43952.0</v>
      </c>
      <c r="B333" s="11" t="s">
        <v>13</v>
      </c>
      <c r="C333" s="11">
        <v>226540.5</v>
      </c>
      <c r="D333" s="11">
        <v>2.3953536E7</v>
      </c>
      <c r="E333" s="7">
        <f t="array" ref="E333">_xlfn.XLOOKUP($K333,
         'Лист2'!$G$2:$G$505,
         'Лист2'!$C$2:$C$505,
         "не найдено")</f>
        <v>54</v>
      </c>
      <c r="F333" s="7">
        <f t="array" ref="F333">_xlfn.XLOOKUP($K333,
         'Лист2'!$G$2:$G$505,
         'Лист2'!$D$2:$D$505,
         "не найдено")</f>
        <v>14205</v>
      </c>
      <c r="G333" s="7">
        <f t="array" ref="G333">_xlfn.XLOOKUP($K333,
         'Лист2'!$G$2:$G$505,
         'Лист2'!$D$2:$D$505,
         "не найдено")</f>
        <v>14205</v>
      </c>
      <c r="H333" s="8">
        <f t="shared" si="1"/>
        <v>443584</v>
      </c>
      <c r="I333" s="8">
        <f t="shared" si="2"/>
        <v>18</v>
      </c>
      <c r="K333" s="8" t="str">
        <f t="shared" si="3"/>
        <v>43952|Москва Восток</v>
      </c>
    </row>
    <row r="334" ht="14.25" customHeight="1">
      <c r="A334" s="5">
        <v>43963.0</v>
      </c>
      <c r="B334" s="6" t="s">
        <v>13</v>
      </c>
      <c r="C334" s="6">
        <v>189679.5</v>
      </c>
      <c r="D334" s="6">
        <v>1.87180365E7</v>
      </c>
      <c r="E334" s="7">
        <f t="array" ref="E334">_xlfn.XLOOKUP($K334,
         'Лист2'!$G$2:$G$505,
         'Лист2'!$C$2:$C$505,
         "не найдено")</f>
        <v>54</v>
      </c>
      <c r="F334" s="7">
        <f t="array" ref="F334">_xlfn.XLOOKUP($K334,
         'Лист2'!$G$2:$G$505,
         'Лист2'!$D$2:$D$505,
         "не найдено")</f>
        <v>11614</v>
      </c>
      <c r="G334" s="7">
        <f t="array" ref="G334">_xlfn.XLOOKUP($K334,
         'Лист2'!$G$2:$G$505,
         'Лист2'!$D$2:$D$505,
         "не найдено")</f>
        <v>11614</v>
      </c>
      <c r="H334" s="8">
        <f t="shared" si="1"/>
        <v>346630.3056</v>
      </c>
      <c r="I334" s="8">
        <f t="shared" si="2"/>
        <v>20</v>
      </c>
      <c r="K334" s="8" t="str">
        <f t="shared" si="3"/>
        <v>43963|Москва Восток</v>
      </c>
    </row>
    <row r="335" ht="14.25" customHeight="1">
      <c r="A335" s="10">
        <v>43972.0</v>
      </c>
      <c r="B335" s="11" t="s">
        <v>13</v>
      </c>
      <c r="C335" s="11">
        <v>213640.5</v>
      </c>
      <c r="D335" s="11">
        <v>2.10426735E7</v>
      </c>
      <c r="E335" s="7">
        <f t="array" ref="E335">_xlfn.XLOOKUP($K335,
         'Лист2'!$G$2:$G$505,
         'Лист2'!$C$2:$C$505,
         "не найдено")</f>
        <v>54</v>
      </c>
      <c r="F335" s="7">
        <f t="array" ref="F335">_xlfn.XLOOKUP($K335,
         'Лист2'!$G$2:$G$505,
         'Лист2'!$D$2:$D$505,
         "не найдено")</f>
        <v>13240</v>
      </c>
      <c r="G335" s="7">
        <f t="array" ref="G335">_xlfn.XLOOKUP($K335,
         'Лист2'!$G$2:$G$505,
         'Лист2'!$D$2:$D$505,
         "не найдено")</f>
        <v>13240</v>
      </c>
      <c r="H335" s="8">
        <f t="shared" si="1"/>
        <v>389679.1389</v>
      </c>
      <c r="I335" s="8">
        <f t="shared" si="2"/>
        <v>21</v>
      </c>
      <c r="K335" s="8" t="str">
        <f t="shared" si="3"/>
        <v>43972|Москва Восток</v>
      </c>
    </row>
    <row r="336" ht="14.25" customHeight="1">
      <c r="A336" s="5">
        <v>43971.0</v>
      </c>
      <c r="B336" s="6" t="s">
        <v>13</v>
      </c>
      <c r="C336" s="6">
        <v>214885.5</v>
      </c>
      <c r="D336" s="6">
        <v>2.14113495E7</v>
      </c>
      <c r="E336" s="7">
        <f t="array" ref="E336">_xlfn.XLOOKUP($K336,
         'Лист2'!$G$2:$G$505,
         'Лист2'!$C$2:$C$505,
         "не найдено")</f>
        <v>54</v>
      </c>
      <c r="F336" s="7">
        <f t="array" ref="F336">_xlfn.XLOOKUP($K336,
         'Лист2'!$G$2:$G$505,
         'Лист2'!$D$2:$D$505,
         "не найдено")</f>
        <v>13298</v>
      </c>
      <c r="G336" s="7">
        <f t="array" ref="G336">_xlfn.XLOOKUP($K336,
         'Лист2'!$G$2:$G$505,
         'Лист2'!$D$2:$D$505,
         "не найдено")</f>
        <v>13298</v>
      </c>
      <c r="H336" s="8">
        <f t="shared" si="1"/>
        <v>396506.4722</v>
      </c>
      <c r="I336" s="8">
        <f t="shared" si="2"/>
        <v>21</v>
      </c>
      <c r="K336" s="8" t="str">
        <f t="shared" si="3"/>
        <v>43971|Москва Восток</v>
      </c>
    </row>
    <row r="337" ht="14.25" customHeight="1">
      <c r="A337" s="10">
        <v>43956.0</v>
      </c>
      <c r="B337" s="11" t="s">
        <v>13</v>
      </c>
      <c r="C337" s="11">
        <v>203832.0</v>
      </c>
      <c r="D337" s="11">
        <v>2.08801425E7</v>
      </c>
      <c r="E337" s="7">
        <f t="array" ref="E337">_xlfn.XLOOKUP($K337,
         'Лист2'!$G$2:$G$505,
         'Лист2'!$C$2:$C$505,
         "не найдено")</f>
        <v>54</v>
      </c>
      <c r="F337" s="7">
        <f t="array" ref="F337">_xlfn.XLOOKUP($K337,
         'Лист2'!$G$2:$G$505,
         'Лист2'!$D$2:$D$505,
         "не найдено")</f>
        <v>12775</v>
      </c>
      <c r="G337" s="7">
        <f t="array" ref="G337">_xlfn.XLOOKUP($K337,
         'Лист2'!$G$2:$G$505,
         'Лист2'!$D$2:$D$505,
         "не найдено")</f>
        <v>12775</v>
      </c>
      <c r="H337" s="8">
        <f t="shared" si="1"/>
        <v>386669.3056</v>
      </c>
      <c r="I337" s="8">
        <f t="shared" si="2"/>
        <v>19</v>
      </c>
      <c r="K337" s="8" t="str">
        <f t="shared" si="3"/>
        <v>43956|Москва Восток</v>
      </c>
    </row>
    <row r="338" ht="14.25" customHeight="1">
      <c r="A338" s="5">
        <v>43964.0</v>
      </c>
      <c r="B338" s="6" t="s">
        <v>13</v>
      </c>
      <c r="C338" s="6">
        <v>188662.5</v>
      </c>
      <c r="D338" s="6">
        <v>1.87840005E7</v>
      </c>
      <c r="E338" s="7">
        <f t="array" ref="E338">_xlfn.XLOOKUP($K338,
         'Лист2'!$G$2:$G$505,
         'Лист2'!$C$2:$C$505,
         "не найдено")</f>
        <v>54</v>
      </c>
      <c r="F338" s="7">
        <f t="array" ref="F338">_xlfn.XLOOKUP($K338,
         'Лист2'!$G$2:$G$505,
         'Лист2'!$D$2:$D$505,
         "не найдено")</f>
        <v>11522</v>
      </c>
      <c r="G338" s="7">
        <f t="array" ref="G338">_xlfn.XLOOKUP($K338,
         'Лист2'!$G$2:$G$505,
         'Лист2'!$D$2:$D$505,
         "не найдено")</f>
        <v>11522</v>
      </c>
      <c r="H338" s="8">
        <f t="shared" si="1"/>
        <v>347851.8611</v>
      </c>
      <c r="I338" s="8">
        <f t="shared" si="2"/>
        <v>20</v>
      </c>
      <c r="K338" s="8" t="str">
        <f t="shared" si="3"/>
        <v>43964|Москва Восток</v>
      </c>
    </row>
    <row r="339" ht="14.25" customHeight="1">
      <c r="A339" s="10">
        <v>43982.0</v>
      </c>
      <c r="B339" s="11" t="s">
        <v>15</v>
      </c>
      <c r="C339" s="11">
        <v>215277.0</v>
      </c>
      <c r="D339" s="11">
        <v>2.15853165E7</v>
      </c>
      <c r="E339" s="7">
        <f t="array" ref="E339">_xlfn.XLOOKUP($K339,
         'Лист2'!$G$2:$G$505,
         'Лист2'!$C$2:$C$505,
         "не найдено")</f>
        <v>59</v>
      </c>
      <c r="F339" s="7">
        <f t="array" ref="F339">_xlfn.XLOOKUP($K339,
         'Лист2'!$G$2:$G$505,
         'Лист2'!$D$2:$D$505,
         "не найдено")</f>
        <v>13684</v>
      </c>
      <c r="G339" s="7">
        <f t="array" ref="G339">_xlfn.XLOOKUP($K339,
         'Лист2'!$G$2:$G$505,
         'Лист2'!$D$2:$D$505,
         "не найдено")</f>
        <v>13684</v>
      </c>
      <c r="H339" s="8">
        <f t="shared" si="1"/>
        <v>365852.822</v>
      </c>
      <c r="I339" s="8">
        <f t="shared" si="2"/>
        <v>22</v>
      </c>
      <c r="K339" s="8" t="str">
        <f t="shared" si="3"/>
        <v>43982|Москва Запад</v>
      </c>
    </row>
    <row r="340" ht="14.25" customHeight="1">
      <c r="A340" s="5">
        <v>43954.0</v>
      </c>
      <c r="B340" s="6" t="s">
        <v>13</v>
      </c>
      <c r="C340" s="6">
        <v>248148.0</v>
      </c>
      <c r="D340" s="6">
        <v>2.55190725E7</v>
      </c>
      <c r="E340" s="7">
        <f t="array" ref="E340">_xlfn.XLOOKUP($K340,
         'Лист2'!$G$2:$G$505,
         'Лист2'!$C$2:$C$505,
         "не найдено")</f>
        <v>54</v>
      </c>
      <c r="F340" s="7">
        <f t="array" ref="F340">_xlfn.XLOOKUP($K340,
         'Лист2'!$G$2:$G$505,
         'Лист2'!$D$2:$D$505,
         "не найдено")</f>
        <v>14823</v>
      </c>
      <c r="G340" s="7">
        <f t="array" ref="G340">_xlfn.XLOOKUP($K340,
         'Лист2'!$G$2:$G$505,
         'Лист2'!$D$2:$D$505,
         "не найдено")</f>
        <v>14823</v>
      </c>
      <c r="H340" s="8">
        <f t="shared" si="1"/>
        <v>472575.4167</v>
      </c>
      <c r="I340" s="8">
        <f t="shared" si="2"/>
        <v>18</v>
      </c>
      <c r="K340" s="8" t="str">
        <f t="shared" si="3"/>
        <v>43954|Москва Восток</v>
      </c>
    </row>
    <row r="341" ht="14.25" customHeight="1">
      <c r="A341" s="10">
        <v>43981.0</v>
      </c>
      <c r="B341" s="11" t="s">
        <v>15</v>
      </c>
      <c r="C341" s="11">
        <v>246414.0</v>
      </c>
      <c r="D341" s="11">
        <v>2.45272455E7</v>
      </c>
      <c r="E341" s="7">
        <f t="array" ref="E341">_xlfn.XLOOKUP($K341,
         'Лист2'!$G$2:$G$505,
         'Лист2'!$C$2:$C$505,
         "не найдено")</f>
        <v>59</v>
      </c>
      <c r="F341" s="7">
        <f t="array" ref="F341">_xlfn.XLOOKUP($K341,
         'Лист2'!$G$2:$G$505,
         'Лист2'!$D$2:$D$505,
         "не найдено")</f>
        <v>15030</v>
      </c>
      <c r="G341" s="7">
        <f t="array" ref="G341">_xlfn.XLOOKUP($K341,
         'Лист2'!$G$2:$G$505,
         'Лист2'!$D$2:$D$505,
         "не найдено")</f>
        <v>15030</v>
      </c>
      <c r="H341" s="8">
        <f t="shared" si="1"/>
        <v>415716.0254</v>
      </c>
      <c r="I341" s="8">
        <f t="shared" si="2"/>
        <v>22</v>
      </c>
      <c r="K341" s="8" t="str">
        <f t="shared" si="3"/>
        <v>43981|Москва Запад</v>
      </c>
    </row>
    <row r="342" ht="14.25" customHeight="1">
      <c r="A342" s="5">
        <v>43957.0</v>
      </c>
      <c r="B342" s="6" t="s">
        <v>13</v>
      </c>
      <c r="C342" s="6">
        <v>216498.0</v>
      </c>
      <c r="D342" s="6">
        <v>2.21264445E7</v>
      </c>
      <c r="E342" s="7">
        <f t="array" ref="E342">_xlfn.XLOOKUP($K342,
         'Лист2'!$G$2:$G$505,
         'Лист2'!$C$2:$C$505,
         "не найдено")</f>
        <v>54</v>
      </c>
      <c r="F342" s="7">
        <f t="array" ref="F342">_xlfn.XLOOKUP($K342,
         'Лист2'!$G$2:$G$505,
         'Лист2'!$D$2:$D$505,
         "не найдено")</f>
        <v>13406</v>
      </c>
      <c r="G342" s="7">
        <f t="array" ref="G342">_xlfn.XLOOKUP($K342,
         'Лист2'!$G$2:$G$505,
         'Лист2'!$D$2:$D$505,
         "не найдено")</f>
        <v>13406</v>
      </c>
      <c r="H342" s="8">
        <f t="shared" si="1"/>
        <v>409748.9722</v>
      </c>
      <c r="I342" s="8">
        <f t="shared" si="2"/>
        <v>19</v>
      </c>
      <c r="K342" s="8" t="str">
        <f t="shared" si="3"/>
        <v>43957|Москва Восток</v>
      </c>
    </row>
    <row r="343" ht="14.25" customHeight="1">
      <c r="A343" s="10">
        <v>43974.0</v>
      </c>
      <c r="B343" s="11" t="s">
        <v>13</v>
      </c>
      <c r="C343" s="11">
        <v>275793.0</v>
      </c>
      <c r="D343" s="11">
        <v>2.6806626E7</v>
      </c>
      <c r="E343" s="7">
        <f t="array" ref="E343">_xlfn.XLOOKUP($K343,
         'Лист2'!$G$2:$G$505,
         'Лист2'!$C$2:$C$505,
         "не найдено")</f>
        <v>54</v>
      </c>
      <c r="F343" s="7">
        <f t="array" ref="F343">_xlfn.XLOOKUP($K343,
         'Лист2'!$G$2:$G$505,
         'Лист2'!$D$2:$D$505,
         "не найдено")</f>
        <v>16221</v>
      </c>
      <c r="G343" s="7">
        <f t="array" ref="G343">_xlfn.XLOOKUP($K343,
         'Лист2'!$G$2:$G$505,
         'Лист2'!$D$2:$D$505,
         "не найдено")</f>
        <v>16221</v>
      </c>
      <c r="H343" s="8">
        <f t="shared" si="1"/>
        <v>496419</v>
      </c>
      <c r="I343" s="8">
        <f t="shared" si="2"/>
        <v>21</v>
      </c>
      <c r="K343" s="8" t="str">
        <f t="shared" si="3"/>
        <v>43974|Москва Восток</v>
      </c>
    </row>
    <row r="344" ht="14.25" customHeight="1">
      <c r="A344" s="5">
        <v>43979.0</v>
      </c>
      <c r="B344" s="6" t="s">
        <v>15</v>
      </c>
      <c r="C344" s="6">
        <v>199753.5</v>
      </c>
      <c r="D344" s="6">
        <v>2.05357335E7</v>
      </c>
      <c r="E344" s="7">
        <f t="array" ref="E344">_xlfn.XLOOKUP($K344,
         'Лист2'!$G$2:$G$505,
         'Лист2'!$C$2:$C$505,
         "не найдено")</f>
        <v>60</v>
      </c>
      <c r="F344" s="7">
        <f t="array" ref="F344">_xlfn.XLOOKUP($K344,
         'Лист2'!$G$2:$G$505,
         'Лист2'!$D$2:$D$505,
         "не найдено")</f>
        <v>12854</v>
      </c>
      <c r="G344" s="7">
        <f t="array" ref="G344">_xlfn.XLOOKUP($K344,
         'Лист2'!$G$2:$G$505,
         'Лист2'!$D$2:$D$505,
         "не найдено")</f>
        <v>12854</v>
      </c>
      <c r="H344" s="8">
        <f t="shared" si="1"/>
        <v>342262.225</v>
      </c>
      <c r="I344" s="8">
        <f t="shared" si="2"/>
        <v>22</v>
      </c>
      <c r="K344" s="8" t="str">
        <f t="shared" si="3"/>
        <v>43979|Москва Запад</v>
      </c>
    </row>
    <row r="345" ht="14.25" customHeight="1">
      <c r="A345" s="10">
        <v>43976.0</v>
      </c>
      <c r="B345" s="11" t="s">
        <v>13</v>
      </c>
      <c r="C345" s="11">
        <v>192948.0</v>
      </c>
      <c r="D345" s="11">
        <v>1.9806927E7</v>
      </c>
      <c r="E345" s="7">
        <f t="array" ref="E345">_xlfn.XLOOKUP($K345,
         'Лист2'!$G$2:$G$505,
         'Лист2'!$C$2:$C$505,
         "не найдено")</f>
        <v>54</v>
      </c>
      <c r="F345" s="7">
        <f t="array" ref="F345">_xlfn.XLOOKUP($K345,
         'Лист2'!$G$2:$G$505,
         'Лист2'!$D$2:$D$505,
         "не найдено")</f>
        <v>12336</v>
      </c>
      <c r="G345" s="7">
        <f t="array" ref="G345">_xlfn.XLOOKUP($K345,
         'Лист2'!$G$2:$G$505,
         'Лист2'!$D$2:$D$505,
         "не найдено")</f>
        <v>12336</v>
      </c>
      <c r="H345" s="8">
        <f t="shared" si="1"/>
        <v>366794.9444</v>
      </c>
      <c r="I345" s="8">
        <f t="shared" si="2"/>
        <v>22</v>
      </c>
      <c r="K345" s="8" t="str">
        <f t="shared" si="3"/>
        <v>43976|Москва Восток</v>
      </c>
    </row>
    <row r="346" ht="14.25" customHeight="1">
      <c r="A346" s="5">
        <v>43951.0</v>
      </c>
      <c r="B346" s="6" t="s">
        <v>13</v>
      </c>
      <c r="C346" s="6">
        <v>206038.5</v>
      </c>
      <c r="D346" s="6">
        <v>2.174046E7</v>
      </c>
      <c r="E346" s="7">
        <f t="array" ref="E346">_xlfn.XLOOKUP($K346,
         'Лист2'!$G$2:$G$505,
         'Лист2'!$C$2:$C$505,
         "не найдено")</f>
        <v>54</v>
      </c>
      <c r="F346" s="7">
        <f t="array" ref="F346">_xlfn.XLOOKUP($K346,
         'Лист2'!$G$2:$G$505,
         'Лист2'!$D$2:$D$505,
         "не найдено")</f>
        <v>12817</v>
      </c>
      <c r="G346" s="7">
        <f t="array" ref="G346">_xlfn.XLOOKUP($K346,
         'Лист2'!$G$2:$G$505,
         'Лист2'!$D$2:$D$505,
         "не найдено")</f>
        <v>12817</v>
      </c>
      <c r="H346" s="8">
        <f t="shared" si="1"/>
        <v>402601.1111</v>
      </c>
      <c r="I346" s="8">
        <f t="shared" si="2"/>
        <v>18</v>
      </c>
      <c r="K346" s="8" t="str">
        <f t="shared" si="3"/>
        <v>43951|Москва Восток</v>
      </c>
    </row>
    <row r="347" ht="14.25" customHeight="1">
      <c r="A347" s="10">
        <v>43961.0</v>
      </c>
      <c r="B347" s="11" t="s">
        <v>13</v>
      </c>
      <c r="C347" s="11">
        <v>231559.5</v>
      </c>
      <c r="D347" s="11">
        <v>2.3443725E7</v>
      </c>
      <c r="E347" s="7">
        <f t="array" ref="E347">_xlfn.XLOOKUP($K347,
         'Лист2'!$G$2:$G$505,
         'Лист2'!$C$2:$C$505,
         "не найдено")</f>
        <v>54</v>
      </c>
      <c r="F347" s="7">
        <f t="array" ref="F347">_xlfn.XLOOKUP($K347,
         'Лист2'!$G$2:$G$505,
         'Лист2'!$D$2:$D$505,
         "не найдено")</f>
        <v>13832</v>
      </c>
      <c r="G347" s="7">
        <f t="array" ref="G347">_xlfn.XLOOKUP($K347,
         'Лист2'!$G$2:$G$505,
         'Лист2'!$D$2:$D$505,
         "не найдено")</f>
        <v>13832</v>
      </c>
      <c r="H347" s="8">
        <f t="shared" si="1"/>
        <v>434143.0556</v>
      </c>
      <c r="I347" s="8">
        <f t="shared" si="2"/>
        <v>19</v>
      </c>
      <c r="K347" s="8" t="str">
        <f t="shared" si="3"/>
        <v>43961|Москва Восток</v>
      </c>
    </row>
    <row r="348" ht="14.25" customHeight="1">
      <c r="A348" s="5">
        <v>43959.0</v>
      </c>
      <c r="B348" s="6" t="s">
        <v>13</v>
      </c>
      <c r="C348" s="6">
        <v>225076.5</v>
      </c>
      <c r="D348" s="6">
        <v>2.28460785E7</v>
      </c>
      <c r="E348" s="7">
        <f t="array" ref="E348">_xlfn.XLOOKUP($K348,
         'Лист2'!$G$2:$G$505,
         'Лист2'!$C$2:$C$505,
         "не найдено")</f>
        <v>54</v>
      </c>
      <c r="F348" s="7">
        <f t="array" ref="F348">_xlfn.XLOOKUP($K348,
         'Лист2'!$G$2:$G$505,
         'Лист2'!$D$2:$D$505,
         "не найдено")</f>
        <v>13563</v>
      </c>
      <c r="G348" s="7">
        <f t="array" ref="G348">_xlfn.XLOOKUP($K348,
         'Лист2'!$G$2:$G$505,
         'Лист2'!$D$2:$D$505,
         "не найдено")</f>
        <v>13563</v>
      </c>
      <c r="H348" s="8">
        <f t="shared" si="1"/>
        <v>423075.5278</v>
      </c>
      <c r="I348" s="8">
        <f t="shared" si="2"/>
        <v>19</v>
      </c>
      <c r="K348" s="8" t="str">
        <f t="shared" si="3"/>
        <v>43959|Москва Восток</v>
      </c>
    </row>
    <row r="349" ht="14.25" customHeight="1">
      <c r="A349" s="10">
        <v>43958.0</v>
      </c>
      <c r="B349" s="11" t="s">
        <v>13</v>
      </c>
      <c r="C349" s="11">
        <v>209415.0</v>
      </c>
      <c r="D349" s="11">
        <v>2.1463023E7</v>
      </c>
      <c r="E349" s="7">
        <f t="array" ref="E349">_xlfn.XLOOKUP($K349,
         'Лист2'!$G$2:$G$505,
         'Лист2'!$C$2:$C$505,
         "не найдено")</f>
        <v>54</v>
      </c>
      <c r="F349" s="7">
        <f t="array" ref="F349">_xlfn.XLOOKUP($K349,
         'Лист2'!$G$2:$G$505,
         'Лист2'!$D$2:$D$505,
         "не найдено")</f>
        <v>12743</v>
      </c>
      <c r="G349" s="7">
        <f t="array" ref="G349">_xlfn.XLOOKUP($K349,
         'Лист2'!$G$2:$G$505,
         'Лист2'!$D$2:$D$505,
         "не найдено")</f>
        <v>12743</v>
      </c>
      <c r="H349" s="8">
        <f t="shared" si="1"/>
        <v>397463.3889</v>
      </c>
      <c r="I349" s="8">
        <f t="shared" si="2"/>
        <v>19</v>
      </c>
      <c r="K349" s="8" t="str">
        <f t="shared" si="3"/>
        <v>43958|Москва Восток</v>
      </c>
    </row>
    <row r="350" ht="14.25" customHeight="1">
      <c r="A350" s="5">
        <v>43975.0</v>
      </c>
      <c r="B350" s="6" t="s">
        <v>13</v>
      </c>
      <c r="C350" s="6">
        <v>193719.0</v>
      </c>
      <c r="D350" s="6">
        <v>1.9071117E7</v>
      </c>
      <c r="E350" s="7">
        <f t="array" ref="E350">_xlfn.XLOOKUP($K350,
         'Лист2'!$G$2:$G$505,
         'Лист2'!$C$2:$C$505,
         "не найдено")</f>
        <v>54</v>
      </c>
      <c r="F350" s="7">
        <f t="array" ref="F350">_xlfn.XLOOKUP($K350,
         'Лист2'!$G$2:$G$505,
         'Лист2'!$D$2:$D$505,
         "не найдено")</f>
        <v>12211</v>
      </c>
      <c r="G350" s="7">
        <f t="array" ref="G350">_xlfn.XLOOKUP($K350,
         'Лист2'!$G$2:$G$505,
         'Лист2'!$D$2:$D$505,
         "не найдено")</f>
        <v>12211</v>
      </c>
      <c r="H350" s="8">
        <f t="shared" si="1"/>
        <v>353168.8333</v>
      </c>
      <c r="I350" s="8">
        <f t="shared" si="2"/>
        <v>21</v>
      </c>
      <c r="K350" s="8" t="str">
        <f t="shared" si="3"/>
        <v>43975|Москва Восток</v>
      </c>
    </row>
    <row r="351" ht="14.25" customHeight="1">
      <c r="A351" s="10">
        <v>43950.0</v>
      </c>
      <c r="B351" s="11" t="s">
        <v>27</v>
      </c>
      <c r="C351" s="11">
        <v>12250.5</v>
      </c>
      <c r="D351" s="11">
        <v>981519.0</v>
      </c>
      <c r="E351" s="7">
        <f t="array" ref="E351">_xlfn.XLOOKUP($K351,
         'Лист2'!$G$2:$G$505,
         'Лист2'!$C$2:$C$505,
         "не найдено")</f>
        <v>15</v>
      </c>
      <c r="F351" s="7">
        <f t="array" ref="F351">_xlfn.XLOOKUP($K351,
         'Лист2'!$G$2:$G$505,
         'Лист2'!$D$2:$D$505,
         "не найдено")</f>
        <v>659</v>
      </c>
      <c r="G351" s="7">
        <f t="array" ref="G351">_xlfn.XLOOKUP($K351,
         'Лист2'!$G$2:$G$505,
         'Лист2'!$D$2:$D$505,
         "не найдено")</f>
        <v>659</v>
      </c>
      <c r="H351" s="8">
        <f t="shared" si="1"/>
        <v>65434.6</v>
      </c>
      <c r="I351" s="8">
        <f t="shared" si="2"/>
        <v>18</v>
      </c>
      <c r="K351" s="8" t="str">
        <f t="shared" si="3"/>
        <v>43950|Новосибирск</v>
      </c>
    </row>
    <row r="352" ht="14.25" customHeight="1">
      <c r="A352" s="5">
        <v>43949.0</v>
      </c>
      <c r="B352" s="6" t="s">
        <v>27</v>
      </c>
      <c r="C352" s="6">
        <v>12541.5</v>
      </c>
      <c r="D352" s="6">
        <v>992541.0</v>
      </c>
      <c r="E352" s="7">
        <f t="array" ref="E352">_xlfn.XLOOKUP($K352,
         'Лист2'!$G$2:$G$505,
         'Лист2'!$C$2:$C$505,
         "не найдено")</f>
        <v>15</v>
      </c>
      <c r="F352" s="7">
        <f t="array" ref="F352">_xlfn.XLOOKUP($K352,
         'Лист2'!$G$2:$G$505,
         'Лист2'!$D$2:$D$505,
         "не найдено")</f>
        <v>636</v>
      </c>
      <c r="G352" s="7">
        <f t="array" ref="G352">_xlfn.XLOOKUP($K352,
         'Лист2'!$G$2:$G$505,
         'Лист2'!$D$2:$D$505,
         "не найдено")</f>
        <v>636</v>
      </c>
      <c r="H352" s="8">
        <f t="shared" si="1"/>
        <v>66169.4</v>
      </c>
      <c r="I352" s="8">
        <f t="shared" si="2"/>
        <v>18</v>
      </c>
      <c r="K352" s="8" t="str">
        <f t="shared" si="3"/>
        <v>43949|Новосибирск</v>
      </c>
    </row>
    <row r="353" ht="14.25" customHeight="1">
      <c r="A353" s="10">
        <v>43982.0</v>
      </c>
      <c r="B353" s="11" t="s">
        <v>13</v>
      </c>
      <c r="C353" s="11">
        <v>206758.5</v>
      </c>
      <c r="D353" s="11">
        <v>2.07172485E7</v>
      </c>
      <c r="E353" s="7">
        <f t="array" ref="E353">_xlfn.XLOOKUP($K353,
         'Лист2'!$G$2:$G$505,
         'Лист2'!$C$2:$C$505,
         "не найдено")</f>
        <v>54</v>
      </c>
      <c r="F353" s="7">
        <f t="array" ref="F353">_xlfn.XLOOKUP($K353,
         'Лист2'!$G$2:$G$505,
         'Лист2'!$D$2:$D$505,
         "не найдено")</f>
        <v>13106</v>
      </c>
      <c r="G353" s="7">
        <f t="array" ref="G353">_xlfn.XLOOKUP($K353,
         'Лист2'!$G$2:$G$505,
         'Лист2'!$D$2:$D$505,
         "не найдено")</f>
        <v>13106</v>
      </c>
      <c r="H353" s="8">
        <f t="shared" si="1"/>
        <v>383652.75</v>
      </c>
      <c r="I353" s="8">
        <f t="shared" si="2"/>
        <v>22</v>
      </c>
      <c r="K353" s="8" t="str">
        <f t="shared" si="3"/>
        <v>43982|Москва Восток</v>
      </c>
    </row>
    <row r="354" ht="14.25" customHeight="1">
      <c r="A354" s="5">
        <v>43981.0</v>
      </c>
      <c r="B354" s="6" t="s">
        <v>13</v>
      </c>
      <c r="C354" s="6">
        <v>244734.0</v>
      </c>
      <c r="D354" s="6">
        <v>2.415198E7</v>
      </c>
      <c r="E354" s="7">
        <f t="array" ref="E354">_xlfn.XLOOKUP($K354,
         'Лист2'!$G$2:$G$505,
         'Лист2'!$C$2:$C$505,
         "не найдено")</f>
        <v>54</v>
      </c>
      <c r="F354" s="7">
        <f t="array" ref="F354">_xlfn.XLOOKUP($K354,
         'Лист2'!$G$2:$G$505,
         'Лист2'!$D$2:$D$505,
         "не найдено")</f>
        <v>14590</v>
      </c>
      <c r="G354" s="7">
        <f t="array" ref="G354">_xlfn.XLOOKUP($K354,
         'Лист2'!$G$2:$G$505,
         'Лист2'!$D$2:$D$505,
         "не найдено")</f>
        <v>14590</v>
      </c>
      <c r="H354" s="8">
        <f t="shared" si="1"/>
        <v>447258.8889</v>
      </c>
      <c r="I354" s="8">
        <f t="shared" si="2"/>
        <v>22</v>
      </c>
      <c r="K354" s="8" t="str">
        <f t="shared" si="3"/>
        <v>43981|Москва Восток</v>
      </c>
    </row>
    <row r="355" ht="14.25" customHeight="1">
      <c r="A355" s="10">
        <v>43979.0</v>
      </c>
      <c r="B355" s="11" t="s">
        <v>13</v>
      </c>
      <c r="C355" s="11">
        <v>191641.5</v>
      </c>
      <c r="D355" s="11">
        <v>1.95490365E7</v>
      </c>
      <c r="E355" s="7">
        <f t="array" ref="E355">_xlfn.XLOOKUP($K355,
         'Лист2'!$G$2:$G$505,
         'Лист2'!$C$2:$C$505,
         "не найдено")</f>
        <v>54</v>
      </c>
      <c r="F355" s="7">
        <f t="array" ref="F355">_xlfn.XLOOKUP($K355,
         'Лист2'!$G$2:$G$505,
         'Лист2'!$D$2:$D$505,
         "не найдено")</f>
        <v>12409</v>
      </c>
      <c r="G355" s="7">
        <f t="array" ref="G355">_xlfn.XLOOKUP($K355,
         'Лист2'!$G$2:$G$505,
         'Лист2'!$D$2:$D$505,
         "не найдено")</f>
        <v>12409</v>
      </c>
      <c r="H355" s="8">
        <f t="shared" si="1"/>
        <v>362019.1944</v>
      </c>
      <c r="I355" s="8">
        <f t="shared" si="2"/>
        <v>22</v>
      </c>
      <c r="K355" s="8" t="str">
        <f t="shared" si="3"/>
        <v>43979|Москва Восток</v>
      </c>
    </row>
    <row r="356" ht="14.25" customHeight="1">
      <c r="A356" s="5">
        <v>43967.0</v>
      </c>
      <c r="B356" s="6" t="s">
        <v>27</v>
      </c>
      <c r="C356" s="6">
        <v>16368.0</v>
      </c>
      <c r="D356" s="6">
        <v>1316350.5</v>
      </c>
      <c r="E356" s="7">
        <f t="array" ref="E356">_xlfn.XLOOKUP($K356,
         'Лист2'!$G$2:$G$505,
         'Лист2'!$C$2:$C$505,
         "не найдено")</f>
        <v>16</v>
      </c>
      <c r="F356" s="7">
        <f t="array" ref="F356">_xlfn.XLOOKUP($K356,
         'Лист2'!$G$2:$G$505,
         'Лист2'!$D$2:$D$505,
         "не найдено")</f>
        <v>920</v>
      </c>
      <c r="G356" s="7">
        <f t="array" ref="G356">_xlfn.XLOOKUP($K356,
         'Лист2'!$G$2:$G$505,
         'Лист2'!$D$2:$D$505,
         "не найдено")</f>
        <v>920</v>
      </c>
      <c r="H356" s="8">
        <f t="shared" si="1"/>
        <v>82271.90625</v>
      </c>
      <c r="I356" s="8">
        <f t="shared" si="2"/>
        <v>20</v>
      </c>
      <c r="K356" s="8" t="str">
        <f t="shared" si="3"/>
        <v>43967|Новосибирск</v>
      </c>
    </row>
    <row r="357" ht="14.25" customHeight="1">
      <c r="A357" s="10">
        <v>43970.0</v>
      </c>
      <c r="B357" s="11" t="s">
        <v>27</v>
      </c>
      <c r="C357" s="11">
        <v>14427.0</v>
      </c>
      <c r="D357" s="11">
        <v>1126810.5</v>
      </c>
      <c r="E357" s="7">
        <f t="array" ref="E357">_xlfn.XLOOKUP($K357,
         'Лист2'!$G$2:$G$505,
         'Лист2'!$C$2:$C$505,
         "не найдено")</f>
        <v>17</v>
      </c>
      <c r="F357" s="7">
        <f t="array" ref="F357">_xlfn.XLOOKUP($K357,
         'Лист2'!$G$2:$G$505,
         'Лист2'!$D$2:$D$505,
         "не найдено")</f>
        <v>857</v>
      </c>
      <c r="G357" s="7">
        <f t="array" ref="G357">_xlfn.XLOOKUP($K357,
         'Лист2'!$G$2:$G$505,
         'Лист2'!$D$2:$D$505,
         "не найдено")</f>
        <v>857</v>
      </c>
      <c r="H357" s="8">
        <f t="shared" si="1"/>
        <v>66282.97059</v>
      </c>
      <c r="I357" s="8">
        <f t="shared" si="2"/>
        <v>21</v>
      </c>
      <c r="K357" s="8" t="str">
        <f t="shared" si="3"/>
        <v>43970|Новосибирск</v>
      </c>
    </row>
    <row r="358" ht="14.25" customHeight="1">
      <c r="A358" s="5">
        <v>43968.0</v>
      </c>
      <c r="B358" s="6" t="s">
        <v>27</v>
      </c>
      <c r="C358" s="6">
        <v>13440.0</v>
      </c>
      <c r="D358" s="6">
        <v>1157529.0</v>
      </c>
      <c r="E358" s="7">
        <f t="array" ref="E358">_xlfn.XLOOKUP($K358,
         'Лист2'!$G$2:$G$505,
         'Лист2'!$C$2:$C$505,
         "не найдено")</f>
        <v>16</v>
      </c>
      <c r="F358" s="7">
        <f t="array" ref="F358">_xlfn.XLOOKUP($K358,
         'Лист2'!$G$2:$G$505,
         'Лист2'!$D$2:$D$505,
         "не найдено")</f>
        <v>859</v>
      </c>
      <c r="G358" s="7">
        <f t="array" ref="G358">_xlfn.XLOOKUP($K358,
         'Лист2'!$G$2:$G$505,
         'Лист2'!$D$2:$D$505,
         "не найдено")</f>
        <v>859</v>
      </c>
      <c r="H358" s="8">
        <f t="shared" si="1"/>
        <v>72345.5625</v>
      </c>
      <c r="I358" s="8">
        <f t="shared" si="2"/>
        <v>20</v>
      </c>
      <c r="K358" s="8" t="str">
        <f t="shared" si="3"/>
        <v>43968|Новосибирск</v>
      </c>
    </row>
    <row r="359" ht="14.25" customHeight="1">
      <c r="A359" s="10">
        <v>43960.0</v>
      </c>
      <c r="B359" s="11" t="s">
        <v>27</v>
      </c>
      <c r="C359" s="11">
        <v>11745.0</v>
      </c>
      <c r="D359" s="11">
        <v>955801.5</v>
      </c>
      <c r="E359" s="7">
        <f t="array" ref="E359">_xlfn.XLOOKUP($K359,
         'Лист2'!$G$2:$G$505,
         'Лист2'!$C$2:$C$505,
         "не найдено")</f>
        <v>15</v>
      </c>
      <c r="F359" s="7">
        <f t="array" ref="F359">_xlfn.XLOOKUP($K359,
         'Лист2'!$G$2:$G$505,
         'Лист2'!$D$2:$D$505,
         "не найдено")</f>
        <v>654</v>
      </c>
      <c r="G359" s="7">
        <f t="array" ref="G359">_xlfn.XLOOKUP($K359,
         'Лист2'!$G$2:$G$505,
         'Лист2'!$D$2:$D$505,
         "не найдено")</f>
        <v>654</v>
      </c>
      <c r="H359" s="8">
        <f t="shared" si="1"/>
        <v>63720.1</v>
      </c>
      <c r="I359" s="8">
        <f t="shared" si="2"/>
        <v>19</v>
      </c>
      <c r="K359" s="8" t="str">
        <f t="shared" si="3"/>
        <v>43960|Новосибирск</v>
      </c>
    </row>
    <row r="360" ht="14.25" customHeight="1">
      <c r="A360" s="5">
        <v>43955.0</v>
      </c>
      <c r="B360" s="6" t="s">
        <v>27</v>
      </c>
      <c r="C360" s="6">
        <v>11062.5</v>
      </c>
      <c r="D360" s="6">
        <v>906343.5</v>
      </c>
      <c r="E360" s="7">
        <f t="array" ref="E360">_xlfn.XLOOKUP($K360,
         'Лист2'!$G$2:$G$505,
         'Лист2'!$C$2:$C$505,
         "не найдено")</f>
        <v>15</v>
      </c>
      <c r="F360" s="7">
        <f t="array" ref="F360">_xlfn.XLOOKUP($K360,
         'Лист2'!$G$2:$G$505,
         'Лист2'!$D$2:$D$505,
         "не найдено")</f>
        <v>622</v>
      </c>
      <c r="G360" s="7">
        <f t="array" ref="G360">_xlfn.XLOOKUP($K360,
         'Лист2'!$G$2:$G$505,
         'Лист2'!$D$2:$D$505,
         "не найдено")</f>
        <v>622</v>
      </c>
      <c r="H360" s="8">
        <f t="shared" si="1"/>
        <v>60422.9</v>
      </c>
      <c r="I360" s="8">
        <f t="shared" si="2"/>
        <v>19</v>
      </c>
      <c r="K360" s="8" t="str">
        <f t="shared" si="3"/>
        <v>43955|Новосибирск</v>
      </c>
    </row>
    <row r="361" ht="14.25" customHeight="1">
      <c r="A361" s="10">
        <v>43953.0</v>
      </c>
      <c r="B361" s="11" t="s">
        <v>27</v>
      </c>
      <c r="C361" s="11">
        <v>10018.5</v>
      </c>
      <c r="D361" s="11">
        <v>816859.5</v>
      </c>
      <c r="E361" s="7">
        <f t="array" ref="E361">_xlfn.XLOOKUP($K361,
         'Лист2'!$G$2:$G$505,
         'Лист2'!$C$2:$C$505,
         "не найдено")</f>
        <v>15</v>
      </c>
      <c r="F361" s="7">
        <f t="array" ref="F361">_xlfn.XLOOKUP($K361,
         'Лист2'!$G$2:$G$505,
         'Лист2'!$D$2:$D$505,
         "не найдено")</f>
        <v>567</v>
      </c>
      <c r="G361" s="7">
        <f t="array" ref="G361">_xlfn.XLOOKUP($K361,
         'Лист2'!$G$2:$G$505,
         'Лист2'!$D$2:$D$505,
         "не найдено")</f>
        <v>567</v>
      </c>
      <c r="H361" s="8">
        <f t="shared" si="1"/>
        <v>54457.3</v>
      </c>
      <c r="I361" s="8">
        <f t="shared" si="2"/>
        <v>18</v>
      </c>
      <c r="K361" s="8" t="str">
        <f t="shared" si="3"/>
        <v>43953|Новосибирск</v>
      </c>
    </row>
    <row r="362" ht="14.25" customHeight="1">
      <c r="A362" s="5">
        <v>43977.0</v>
      </c>
      <c r="B362" s="6" t="s">
        <v>23</v>
      </c>
      <c r="C362" s="6">
        <v>10437.0</v>
      </c>
      <c r="D362" s="6">
        <v>833815.5</v>
      </c>
      <c r="E362" s="7">
        <f t="array" ref="E362">_xlfn.XLOOKUP($K362,
         'Лист2'!$G$2:$G$505,
         'Лист2'!$C$2:$C$505,
         "не найдено")</f>
        <v>7</v>
      </c>
      <c r="F362" s="7">
        <f t="array" ref="F362">_xlfn.XLOOKUP($K362,
         'Лист2'!$G$2:$G$505,
         'Лист2'!$D$2:$D$505,
         "не найдено")</f>
        <v>577</v>
      </c>
      <c r="G362" s="7">
        <f t="array" ref="G362">_xlfn.XLOOKUP($K362,
         'Лист2'!$G$2:$G$505,
         'Лист2'!$D$2:$D$505,
         "не найдено")</f>
        <v>577</v>
      </c>
      <c r="H362" s="8">
        <f t="shared" si="1"/>
        <v>119116.5</v>
      </c>
      <c r="I362" s="8">
        <f t="shared" si="2"/>
        <v>22</v>
      </c>
      <c r="K362" s="8" t="str">
        <f t="shared" si="3"/>
        <v>43977|Тюмень</v>
      </c>
    </row>
    <row r="363" ht="14.25" customHeight="1">
      <c r="A363" s="10">
        <v>43952.0</v>
      </c>
      <c r="B363" s="11" t="s">
        <v>27</v>
      </c>
      <c r="C363" s="11">
        <v>13644.0</v>
      </c>
      <c r="D363" s="11">
        <v>1134444.0</v>
      </c>
      <c r="E363" s="7">
        <f t="array" ref="E363">_xlfn.XLOOKUP($K363,
         'Лист2'!$G$2:$G$505,
         'Лист2'!$C$2:$C$505,
         "не найдено")</f>
        <v>15</v>
      </c>
      <c r="F363" s="7">
        <f t="array" ref="F363">_xlfn.XLOOKUP($K363,
         'Лист2'!$G$2:$G$505,
         'Лист2'!$D$2:$D$505,
         "не найдено")</f>
        <v>721</v>
      </c>
      <c r="G363" s="7">
        <f t="array" ref="G363">_xlfn.XLOOKUP($K363,
         'Лист2'!$G$2:$G$505,
         'Лист2'!$D$2:$D$505,
         "не найдено")</f>
        <v>721</v>
      </c>
      <c r="H363" s="8">
        <f t="shared" si="1"/>
        <v>75629.6</v>
      </c>
      <c r="I363" s="8">
        <f t="shared" si="2"/>
        <v>18</v>
      </c>
      <c r="K363" s="8" t="str">
        <f t="shared" si="3"/>
        <v>43952|Новосибирск</v>
      </c>
    </row>
    <row r="364" ht="14.25" customHeight="1">
      <c r="A364" s="5">
        <v>43963.0</v>
      </c>
      <c r="B364" s="6" t="s">
        <v>27</v>
      </c>
      <c r="C364" s="6">
        <v>13443.0</v>
      </c>
      <c r="D364" s="6">
        <v>1092277.5</v>
      </c>
      <c r="E364" s="7">
        <f t="array" ref="E364">_xlfn.XLOOKUP($K364,
         'Лист2'!$G$2:$G$505,
         'Лист2'!$C$2:$C$505,
         "не найдено")</f>
        <v>15</v>
      </c>
      <c r="F364" s="7">
        <f t="array" ref="F364">_xlfn.XLOOKUP($K364,
         'Лист2'!$G$2:$G$505,
         'Лист2'!$D$2:$D$505,
         "не найдено")</f>
        <v>750</v>
      </c>
      <c r="G364" s="7">
        <f t="array" ref="G364">_xlfn.XLOOKUP($K364,
         'Лист2'!$G$2:$G$505,
         'Лист2'!$D$2:$D$505,
         "не найдено")</f>
        <v>750</v>
      </c>
      <c r="H364" s="8">
        <f t="shared" si="1"/>
        <v>72818.5</v>
      </c>
      <c r="I364" s="8">
        <f t="shared" si="2"/>
        <v>20</v>
      </c>
      <c r="K364" s="8" t="str">
        <f t="shared" si="3"/>
        <v>43963|Новосибирск</v>
      </c>
    </row>
    <row r="365" ht="14.25" customHeight="1">
      <c r="A365" s="10">
        <v>43972.0</v>
      </c>
      <c r="B365" s="11" t="s">
        <v>27</v>
      </c>
      <c r="C365" s="11">
        <v>14182.5</v>
      </c>
      <c r="D365" s="11">
        <v>1172574.0</v>
      </c>
      <c r="E365" s="7">
        <f t="array" ref="E365">_xlfn.XLOOKUP($K365,
         'Лист2'!$G$2:$G$505,
         'Лист2'!$C$2:$C$505,
         "не найдено")</f>
        <v>18</v>
      </c>
      <c r="F365" s="7">
        <f t="array" ref="F365">_xlfn.XLOOKUP($K365,
         'Лист2'!$G$2:$G$505,
         'Лист2'!$D$2:$D$505,
         "не найдено")</f>
        <v>888</v>
      </c>
      <c r="G365" s="7">
        <f t="array" ref="G365">_xlfn.XLOOKUP($K365,
         'Лист2'!$G$2:$G$505,
         'Лист2'!$D$2:$D$505,
         "не найдено")</f>
        <v>888</v>
      </c>
      <c r="H365" s="8">
        <f t="shared" si="1"/>
        <v>65143</v>
      </c>
      <c r="I365" s="8">
        <f t="shared" si="2"/>
        <v>21</v>
      </c>
      <c r="K365" s="8" t="str">
        <f t="shared" si="3"/>
        <v>43972|Новосибирск</v>
      </c>
    </row>
    <row r="366" ht="14.25" customHeight="1">
      <c r="A366" s="5">
        <v>43971.0</v>
      </c>
      <c r="B366" s="6" t="s">
        <v>27</v>
      </c>
      <c r="C366" s="6">
        <v>14928.0</v>
      </c>
      <c r="D366" s="6">
        <v>1217749.5</v>
      </c>
      <c r="E366" s="7">
        <f t="array" ref="E366">_xlfn.XLOOKUP($K366,
         'Лист2'!$G$2:$G$505,
         'Лист2'!$C$2:$C$505,
         "не найдено")</f>
        <v>17</v>
      </c>
      <c r="F366" s="7">
        <f t="array" ref="F366">_xlfn.XLOOKUP($K366,
         'Лист2'!$G$2:$G$505,
         'Лист2'!$D$2:$D$505,
         "не найдено")</f>
        <v>890</v>
      </c>
      <c r="G366" s="7">
        <f t="array" ref="G366">_xlfn.XLOOKUP($K366,
         'Лист2'!$G$2:$G$505,
         'Лист2'!$D$2:$D$505,
         "не найдено")</f>
        <v>890</v>
      </c>
      <c r="H366" s="8">
        <f t="shared" si="1"/>
        <v>71632.32353</v>
      </c>
      <c r="I366" s="8">
        <f t="shared" si="2"/>
        <v>21</v>
      </c>
      <c r="K366" s="8" t="str">
        <f t="shared" si="3"/>
        <v>43971|Новосибирск</v>
      </c>
    </row>
    <row r="367" ht="14.25" customHeight="1">
      <c r="A367" s="10">
        <v>43956.0</v>
      </c>
      <c r="B367" s="11" t="s">
        <v>27</v>
      </c>
      <c r="C367" s="11">
        <v>13941.0</v>
      </c>
      <c r="D367" s="11">
        <v>1145575.5</v>
      </c>
      <c r="E367" s="7">
        <f t="array" ref="E367">_xlfn.XLOOKUP($K367,
         'Лист2'!$G$2:$G$505,
         'Лист2'!$C$2:$C$505,
         "не найдено")</f>
        <v>15</v>
      </c>
      <c r="F367" s="7">
        <f t="array" ref="F367">_xlfn.XLOOKUP($K367,
         'Лист2'!$G$2:$G$505,
         'Лист2'!$D$2:$D$505,
         "не найдено")</f>
        <v>750</v>
      </c>
      <c r="G367" s="7">
        <f t="array" ref="G367">_xlfn.XLOOKUP($K367,
         'Лист2'!$G$2:$G$505,
         'Лист2'!$D$2:$D$505,
         "не найдено")</f>
        <v>750</v>
      </c>
      <c r="H367" s="8">
        <f t="shared" si="1"/>
        <v>76371.7</v>
      </c>
      <c r="I367" s="8">
        <f t="shared" si="2"/>
        <v>19</v>
      </c>
      <c r="K367" s="8" t="str">
        <f t="shared" si="3"/>
        <v>43956|Новосибирск</v>
      </c>
    </row>
    <row r="368" ht="14.25" customHeight="1">
      <c r="A368" s="5">
        <v>43964.0</v>
      </c>
      <c r="B368" s="6" t="s">
        <v>27</v>
      </c>
      <c r="C368" s="6">
        <v>14643.0</v>
      </c>
      <c r="D368" s="6">
        <v>1172691.0</v>
      </c>
      <c r="E368" s="7">
        <f t="array" ref="E368">_xlfn.XLOOKUP($K368,
         'Лист2'!$G$2:$G$505,
         'Лист2'!$C$2:$C$505,
         "не найдено")</f>
        <v>15</v>
      </c>
      <c r="F368" s="7">
        <f t="array" ref="F368">_xlfn.XLOOKUP($K368,
         'Лист2'!$G$2:$G$505,
         'Лист2'!$D$2:$D$505,
         "не найдено")</f>
        <v>854</v>
      </c>
      <c r="G368" s="7">
        <f t="array" ref="G368">_xlfn.XLOOKUP($K368,
         'Лист2'!$G$2:$G$505,
         'Лист2'!$D$2:$D$505,
         "не найдено")</f>
        <v>854</v>
      </c>
      <c r="H368" s="8">
        <f t="shared" si="1"/>
        <v>78179.4</v>
      </c>
      <c r="I368" s="8">
        <f t="shared" si="2"/>
        <v>20</v>
      </c>
      <c r="K368" s="8" t="str">
        <f t="shared" si="3"/>
        <v>43964|Новосибирск</v>
      </c>
    </row>
    <row r="369" ht="14.25" customHeight="1">
      <c r="A369" s="10">
        <v>43954.0</v>
      </c>
      <c r="B369" s="11" t="s">
        <v>27</v>
      </c>
      <c r="C369" s="11">
        <v>10032.0</v>
      </c>
      <c r="D369" s="11">
        <v>816150.0</v>
      </c>
      <c r="E369" s="7">
        <f t="array" ref="E369">_xlfn.XLOOKUP($K369,
         'Лист2'!$G$2:$G$505,
         'Лист2'!$C$2:$C$505,
         "не найдено")</f>
        <v>15</v>
      </c>
      <c r="F369" s="7">
        <f t="array" ref="F369">_xlfn.XLOOKUP($K369,
         'Лист2'!$G$2:$G$505,
         'Лист2'!$D$2:$D$505,
         "не найдено")</f>
        <v>585</v>
      </c>
      <c r="G369" s="7">
        <f t="array" ref="G369">_xlfn.XLOOKUP($K369,
         'Лист2'!$G$2:$G$505,
         'Лист2'!$D$2:$D$505,
         "не найдено")</f>
        <v>585</v>
      </c>
      <c r="H369" s="8">
        <f t="shared" si="1"/>
        <v>54410</v>
      </c>
      <c r="I369" s="8">
        <f t="shared" si="2"/>
        <v>18</v>
      </c>
      <c r="K369" s="8" t="str">
        <f t="shared" si="3"/>
        <v>43954|Новосибирск</v>
      </c>
    </row>
    <row r="370" ht="14.25" customHeight="1">
      <c r="A370" s="5">
        <v>43957.0</v>
      </c>
      <c r="B370" s="6" t="s">
        <v>27</v>
      </c>
      <c r="C370" s="6">
        <v>12468.0</v>
      </c>
      <c r="D370" s="6">
        <v>1016566.5</v>
      </c>
      <c r="E370" s="7">
        <f t="array" ref="E370">_xlfn.XLOOKUP($K370,
         'Лист2'!$G$2:$G$505,
         'Лист2'!$C$2:$C$505,
         "не найдено")</f>
        <v>15</v>
      </c>
      <c r="F370" s="7">
        <f t="array" ref="F370">_xlfn.XLOOKUP($K370,
         'Лист2'!$G$2:$G$505,
         'Лист2'!$D$2:$D$505,
         "не найдено")</f>
        <v>701</v>
      </c>
      <c r="G370" s="7">
        <f t="array" ref="G370">_xlfn.XLOOKUP($K370,
         'Лист2'!$G$2:$G$505,
         'Лист2'!$D$2:$D$505,
         "не найдено")</f>
        <v>701</v>
      </c>
      <c r="H370" s="8">
        <f t="shared" si="1"/>
        <v>67771.1</v>
      </c>
      <c r="I370" s="8">
        <f t="shared" si="2"/>
        <v>19</v>
      </c>
      <c r="K370" s="8" t="str">
        <f t="shared" si="3"/>
        <v>43957|Новосибирск</v>
      </c>
    </row>
    <row r="371" ht="14.25" customHeight="1">
      <c r="A371" s="10">
        <v>43974.0</v>
      </c>
      <c r="B371" s="11" t="s">
        <v>27</v>
      </c>
      <c r="C371" s="11">
        <v>17943.0</v>
      </c>
      <c r="D371" s="11">
        <v>1457391.0</v>
      </c>
      <c r="E371" s="7">
        <f t="array" ref="E371">_xlfn.XLOOKUP($K371,
         'Лист2'!$G$2:$G$505,
         'Лист2'!$C$2:$C$505,
         "не найдено")</f>
        <v>18</v>
      </c>
      <c r="F371" s="7">
        <f t="array" ref="F371">_xlfn.XLOOKUP($K371,
         'Лист2'!$G$2:$G$505,
         'Лист2'!$D$2:$D$505,
         "не найдено")</f>
        <v>1031</v>
      </c>
      <c r="G371" s="7">
        <f t="array" ref="G371">_xlfn.XLOOKUP($K371,
         'Лист2'!$G$2:$G$505,
         'Лист2'!$D$2:$D$505,
         "не найдено")</f>
        <v>1031</v>
      </c>
      <c r="H371" s="8">
        <f t="shared" si="1"/>
        <v>80966.16667</v>
      </c>
      <c r="I371" s="8">
        <f t="shared" si="2"/>
        <v>21</v>
      </c>
      <c r="K371" s="8" t="str">
        <f t="shared" si="3"/>
        <v>43974|Новосибирск</v>
      </c>
    </row>
    <row r="372" ht="14.25" customHeight="1">
      <c r="A372" s="5">
        <v>43976.0</v>
      </c>
      <c r="B372" s="6" t="s">
        <v>27</v>
      </c>
      <c r="C372" s="6">
        <v>15807.0</v>
      </c>
      <c r="D372" s="6">
        <v>1326705.0</v>
      </c>
      <c r="E372" s="7">
        <f t="array" ref="E372">_xlfn.XLOOKUP($K372,
         'Лист2'!$G$2:$G$505,
         'Лист2'!$C$2:$C$505,
         "не найдено")</f>
        <v>18</v>
      </c>
      <c r="F372" s="7">
        <f t="array" ref="F372">_xlfn.XLOOKUP($K372,
         'Лист2'!$G$2:$G$505,
         'Лист2'!$D$2:$D$505,
         "не найдено")</f>
        <v>989</v>
      </c>
      <c r="G372" s="7">
        <f t="array" ref="G372">_xlfn.XLOOKUP($K372,
         'Лист2'!$G$2:$G$505,
         'Лист2'!$D$2:$D$505,
         "не найдено")</f>
        <v>989</v>
      </c>
      <c r="H372" s="8">
        <f t="shared" si="1"/>
        <v>73705.83333</v>
      </c>
      <c r="I372" s="8">
        <f t="shared" si="2"/>
        <v>22</v>
      </c>
      <c r="K372" s="8" t="str">
        <f t="shared" si="3"/>
        <v>43976|Новосибирск</v>
      </c>
    </row>
    <row r="373" ht="14.25" customHeight="1">
      <c r="A373" s="10">
        <v>43951.0</v>
      </c>
      <c r="B373" s="11" t="s">
        <v>27</v>
      </c>
      <c r="C373" s="11">
        <v>11976.0</v>
      </c>
      <c r="D373" s="11">
        <v>1004511.0</v>
      </c>
      <c r="E373" s="7">
        <f t="array" ref="E373">_xlfn.XLOOKUP($K373,
         'Лист2'!$G$2:$G$505,
         'Лист2'!$C$2:$C$505,
         "не найдено")</f>
        <v>15</v>
      </c>
      <c r="F373" s="7">
        <f t="array" ref="F373">_xlfn.XLOOKUP($K373,
         'Лист2'!$G$2:$G$505,
         'Лист2'!$D$2:$D$505,
         "не найдено")</f>
        <v>644</v>
      </c>
      <c r="G373" s="7">
        <f t="array" ref="G373">_xlfn.XLOOKUP($K373,
         'Лист2'!$G$2:$G$505,
         'Лист2'!$D$2:$D$505,
         "не найдено")</f>
        <v>644</v>
      </c>
      <c r="H373" s="8">
        <f t="shared" si="1"/>
        <v>66967.4</v>
      </c>
      <c r="I373" s="8">
        <f t="shared" si="2"/>
        <v>18</v>
      </c>
      <c r="K373" s="8" t="str">
        <f t="shared" si="3"/>
        <v>43951|Новосибирск</v>
      </c>
    </row>
    <row r="374" ht="14.25" customHeight="1">
      <c r="A374" s="5">
        <v>43961.0</v>
      </c>
      <c r="B374" s="6" t="s">
        <v>27</v>
      </c>
      <c r="C374" s="6">
        <v>14566.5</v>
      </c>
      <c r="D374" s="6">
        <v>1216557.0</v>
      </c>
      <c r="E374" s="7">
        <f t="array" ref="E374">_xlfn.XLOOKUP($K374,
         'Лист2'!$G$2:$G$505,
         'Лист2'!$C$2:$C$505,
         "не найдено")</f>
        <v>15</v>
      </c>
      <c r="F374" s="7">
        <f t="array" ref="F374">_xlfn.XLOOKUP($K374,
         'Лист2'!$G$2:$G$505,
         'Лист2'!$D$2:$D$505,
         "не найдено")</f>
        <v>792</v>
      </c>
      <c r="G374" s="7">
        <f t="array" ref="G374">_xlfn.XLOOKUP($K374,
         'Лист2'!$G$2:$G$505,
         'Лист2'!$D$2:$D$505,
         "не найдено")</f>
        <v>792</v>
      </c>
      <c r="H374" s="8">
        <f t="shared" si="1"/>
        <v>81103.8</v>
      </c>
      <c r="I374" s="8">
        <f t="shared" si="2"/>
        <v>19</v>
      </c>
      <c r="K374" s="8" t="str">
        <f t="shared" si="3"/>
        <v>43961|Новосибирск</v>
      </c>
    </row>
    <row r="375" ht="14.25" customHeight="1">
      <c r="A375" s="10">
        <v>43959.0</v>
      </c>
      <c r="B375" s="11" t="s">
        <v>27</v>
      </c>
      <c r="C375" s="11">
        <v>12976.5</v>
      </c>
      <c r="D375" s="11">
        <v>1046848.5</v>
      </c>
      <c r="E375" s="7">
        <f t="array" ref="E375">_xlfn.XLOOKUP($K375,
         'Лист2'!$G$2:$G$505,
         'Лист2'!$C$2:$C$505,
         "не найдено")</f>
        <v>15</v>
      </c>
      <c r="F375" s="7">
        <f t="array" ref="F375">_xlfn.XLOOKUP($K375,
         'Лист2'!$G$2:$G$505,
         'Лист2'!$D$2:$D$505,
         "не найдено")</f>
        <v>703</v>
      </c>
      <c r="G375" s="7">
        <f t="array" ref="G375">_xlfn.XLOOKUP($K375,
         'Лист2'!$G$2:$G$505,
         'Лист2'!$D$2:$D$505,
         "не найдено")</f>
        <v>703</v>
      </c>
      <c r="H375" s="8">
        <f t="shared" si="1"/>
        <v>69789.9</v>
      </c>
      <c r="I375" s="8">
        <f t="shared" si="2"/>
        <v>19</v>
      </c>
      <c r="K375" s="8" t="str">
        <f t="shared" si="3"/>
        <v>43959|Новосибирск</v>
      </c>
    </row>
    <row r="376" ht="14.25" customHeight="1">
      <c r="A376" s="5">
        <v>43958.0</v>
      </c>
      <c r="B376" s="6" t="s">
        <v>27</v>
      </c>
      <c r="C376" s="6">
        <v>11719.5</v>
      </c>
      <c r="D376" s="6">
        <v>965880.0</v>
      </c>
      <c r="E376" s="7">
        <f t="array" ref="E376">_xlfn.XLOOKUP($K376,
         'Лист2'!$G$2:$G$505,
         'Лист2'!$C$2:$C$505,
         "не найдено")</f>
        <v>15</v>
      </c>
      <c r="F376" s="7">
        <f t="array" ref="F376">_xlfn.XLOOKUP($K376,
         'Лист2'!$G$2:$G$505,
         'Лист2'!$D$2:$D$505,
         "не найдено")</f>
        <v>676</v>
      </c>
      <c r="G376" s="7">
        <f t="array" ref="G376">_xlfn.XLOOKUP($K376,
         'Лист2'!$G$2:$G$505,
         'Лист2'!$D$2:$D$505,
         "не найдено")</f>
        <v>676</v>
      </c>
      <c r="H376" s="8">
        <f t="shared" si="1"/>
        <v>64392</v>
      </c>
      <c r="I376" s="8">
        <f t="shared" si="2"/>
        <v>19</v>
      </c>
      <c r="K376" s="8" t="str">
        <f t="shared" si="3"/>
        <v>43958|Новосибирск</v>
      </c>
    </row>
    <row r="377" ht="14.25" customHeight="1">
      <c r="A377" s="10">
        <v>43975.0</v>
      </c>
      <c r="B377" s="11" t="s">
        <v>27</v>
      </c>
      <c r="C377" s="11">
        <v>17197.5</v>
      </c>
      <c r="D377" s="11">
        <v>1386262.5</v>
      </c>
      <c r="E377" s="7">
        <f t="array" ref="E377">_xlfn.XLOOKUP($K377,
         'Лист2'!$G$2:$G$505,
         'Лист2'!$C$2:$C$505,
         "не найдено")</f>
        <v>18</v>
      </c>
      <c r="F377" s="7">
        <f t="array" ref="F377">_xlfn.XLOOKUP($K377,
         'Лист2'!$G$2:$G$505,
         'Лист2'!$D$2:$D$505,
         "не найдено")</f>
        <v>1006</v>
      </c>
      <c r="G377" s="7">
        <f t="array" ref="G377">_xlfn.XLOOKUP($K377,
         'Лист2'!$G$2:$G$505,
         'Лист2'!$D$2:$D$505,
         "не найдено")</f>
        <v>1006</v>
      </c>
      <c r="H377" s="8">
        <f t="shared" si="1"/>
        <v>77014.58333</v>
      </c>
      <c r="I377" s="8">
        <f t="shared" si="2"/>
        <v>21</v>
      </c>
      <c r="K377" s="8" t="str">
        <f t="shared" si="3"/>
        <v>43975|Новосибирск</v>
      </c>
    </row>
    <row r="378" ht="14.25" customHeight="1">
      <c r="A378" s="5">
        <v>43977.0</v>
      </c>
      <c r="B378" s="6" t="s">
        <v>27</v>
      </c>
      <c r="C378" s="6">
        <v>14419.5</v>
      </c>
      <c r="D378" s="6">
        <v>1210456.5</v>
      </c>
      <c r="E378" s="7">
        <f t="array" ref="E378">_xlfn.XLOOKUP($K378,
         'Лист2'!$G$2:$G$505,
         'Лист2'!$C$2:$C$505,
         "не найдено")</f>
        <v>18</v>
      </c>
      <c r="F378" s="7">
        <f t="array" ref="F378">_xlfn.XLOOKUP($K378,
         'Лист2'!$G$2:$G$505,
         'Лист2'!$D$2:$D$505,
         "не найдено")</f>
        <v>914</v>
      </c>
      <c r="G378" s="7">
        <f t="array" ref="G378">_xlfn.XLOOKUP($K378,
         'Лист2'!$G$2:$G$505,
         'Лист2'!$D$2:$D$505,
         "не найдено")</f>
        <v>914</v>
      </c>
      <c r="H378" s="8">
        <f t="shared" si="1"/>
        <v>67247.58333</v>
      </c>
      <c r="I378" s="8">
        <f t="shared" si="2"/>
        <v>22</v>
      </c>
      <c r="K378" s="8" t="str">
        <f t="shared" si="3"/>
        <v>43977|Новосибирск</v>
      </c>
    </row>
    <row r="379" ht="14.25" customHeight="1">
      <c r="A379" s="10">
        <v>43983.0</v>
      </c>
      <c r="B379" s="11" t="s">
        <v>9</v>
      </c>
      <c r="C379" s="11">
        <v>7816.5</v>
      </c>
      <c r="D379" s="11">
        <v>636345.0</v>
      </c>
      <c r="E379" s="7">
        <f t="array" ref="E379">_xlfn.XLOOKUP($K379,
         'Лист2'!$G$2:$G$505,
         'Лист2'!$C$2:$C$505,
         "не найдено")</f>
        <v>15</v>
      </c>
      <c r="F379" s="7">
        <f t="array" ref="F379">_xlfn.XLOOKUP($K379,
         'Лист2'!$G$2:$G$505,
         'Лист2'!$D$2:$D$505,
         "не найдено")</f>
        <v>453</v>
      </c>
      <c r="G379" s="7">
        <f t="array" ref="G379">_xlfn.XLOOKUP($K379,
         'Лист2'!$G$2:$G$505,
         'Лист2'!$D$2:$D$505,
         "не найдено")</f>
        <v>453</v>
      </c>
      <c r="H379" s="8">
        <f t="shared" si="1"/>
        <v>42423</v>
      </c>
      <c r="I379" s="8">
        <f t="shared" si="2"/>
        <v>23</v>
      </c>
      <c r="K379" s="8" t="str">
        <f t="shared" si="3"/>
        <v>43983|Самара</v>
      </c>
    </row>
    <row r="380" ht="14.25" customHeight="1">
      <c r="A380" s="5">
        <v>43982.0</v>
      </c>
      <c r="B380" s="6" t="s">
        <v>29</v>
      </c>
      <c r="C380" s="6">
        <v>6409.5</v>
      </c>
      <c r="D380" s="6">
        <v>493893.0</v>
      </c>
      <c r="E380" s="7">
        <f t="array" ref="E380">_xlfn.XLOOKUP($K380,
         'Лист2'!$G$2:$G$505,
         'Лист2'!$C$2:$C$505,
         "не найдено")</f>
        <v>9</v>
      </c>
      <c r="F380" s="7">
        <f t="array" ref="F380">_xlfn.XLOOKUP($K380,
         'Лист2'!$G$2:$G$505,
         'Лист2'!$D$2:$D$505,
         "не найдено")</f>
        <v>345</v>
      </c>
      <c r="G380" s="7">
        <f t="array" ref="G380">_xlfn.XLOOKUP($K380,
         'Лист2'!$G$2:$G$505,
         'Лист2'!$D$2:$D$505,
         "не найдено")</f>
        <v>345</v>
      </c>
      <c r="H380" s="8">
        <f t="shared" si="1"/>
        <v>54877</v>
      </c>
      <c r="I380" s="8">
        <f t="shared" si="2"/>
        <v>22</v>
      </c>
      <c r="K380" s="8" t="str">
        <f t="shared" si="3"/>
        <v>43982|Томск</v>
      </c>
    </row>
    <row r="381" ht="14.25" customHeight="1">
      <c r="A381" s="10">
        <v>43981.0</v>
      </c>
      <c r="B381" s="11" t="s">
        <v>23</v>
      </c>
      <c r="C381" s="11">
        <v>11220.0</v>
      </c>
      <c r="D381" s="11">
        <v>928675.5</v>
      </c>
      <c r="E381" s="7">
        <f t="array" ref="E381">_xlfn.XLOOKUP($K381,
         'Лист2'!$G$2:$G$505,
         'Лист2'!$C$2:$C$505,
         "не найдено")</f>
        <v>7</v>
      </c>
      <c r="F381" s="7">
        <f t="array" ref="F381">_xlfn.XLOOKUP($K381,
         'Лист2'!$G$2:$G$505,
         'Лист2'!$D$2:$D$505,
         "не найдено")</f>
        <v>532</v>
      </c>
      <c r="G381" s="7">
        <f t="array" ref="G381">_xlfn.XLOOKUP($K381,
         'Лист2'!$G$2:$G$505,
         'Лист2'!$D$2:$D$505,
         "не найдено")</f>
        <v>532</v>
      </c>
      <c r="H381" s="8">
        <f t="shared" si="1"/>
        <v>132667.9286</v>
      </c>
      <c r="I381" s="8">
        <f t="shared" si="2"/>
        <v>22</v>
      </c>
      <c r="K381" s="8" t="str">
        <f t="shared" si="3"/>
        <v>43981|Тюмень</v>
      </c>
    </row>
    <row r="382" ht="14.25" customHeight="1">
      <c r="A382" s="5">
        <v>43980.0</v>
      </c>
      <c r="B382" s="6" t="s">
        <v>9</v>
      </c>
      <c r="C382" s="6">
        <v>8350.5</v>
      </c>
      <c r="D382" s="6">
        <v>651237.0</v>
      </c>
      <c r="E382" s="7">
        <f t="array" ref="E382">_xlfn.XLOOKUP($K382,
         'Лист2'!$G$2:$G$505,
         'Лист2'!$C$2:$C$505,
         "не найдено")</f>
        <v>15</v>
      </c>
      <c r="F382" s="7">
        <f t="array" ref="F382">_xlfn.XLOOKUP($K382,
         'Лист2'!$G$2:$G$505,
         'Лист2'!$D$2:$D$505,
         "не найдено")</f>
        <v>400</v>
      </c>
      <c r="G382" s="7">
        <f t="array" ref="G382">_xlfn.XLOOKUP($K382,
         'Лист2'!$G$2:$G$505,
         'Лист2'!$D$2:$D$505,
         "не найдено")</f>
        <v>400</v>
      </c>
      <c r="H382" s="8">
        <f t="shared" si="1"/>
        <v>43415.8</v>
      </c>
      <c r="I382" s="8">
        <f t="shared" si="2"/>
        <v>22</v>
      </c>
      <c r="K382" s="8" t="str">
        <f t="shared" si="3"/>
        <v>43980|Самара</v>
      </c>
    </row>
    <row r="383" ht="14.25" customHeight="1">
      <c r="A383" s="10">
        <v>43979.0</v>
      </c>
      <c r="B383" s="11" t="s">
        <v>23</v>
      </c>
      <c r="C383" s="11">
        <v>8428.5</v>
      </c>
      <c r="D383" s="11">
        <v>694669.5</v>
      </c>
      <c r="E383" s="7">
        <f t="array" ref="E383">_xlfn.XLOOKUP($K383,
         'Лист2'!$G$2:$G$505,
         'Лист2'!$C$2:$C$505,
         "не найдено")</f>
        <v>7</v>
      </c>
      <c r="F383" s="7">
        <f t="array" ref="F383">_xlfn.XLOOKUP($K383,
         'Лист2'!$G$2:$G$505,
         'Лист2'!$D$2:$D$505,
         "не найдено")</f>
        <v>420</v>
      </c>
      <c r="G383" s="7">
        <f t="array" ref="G383">_xlfn.XLOOKUP($K383,
         'Лист2'!$G$2:$G$505,
         'Лист2'!$D$2:$D$505,
         "не найдено")</f>
        <v>420</v>
      </c>
      <c r="H383" s="8">
        <f t="shared" si="1"/>
        <v>99238.5</v>
      </c>
      <c r="I383" s="8">
        <f t="shared" si="2"/>
        <v>22</v>
      </c>
      <c r="K383" s="8" t="str">
        <f t="shared" si="3"/>
        <v>43979|Тюмень</v>
      </c>
    </row>
    <row r="384" ht="14.25" customHeight="1">
      <c r="A384" s="5">
        <v>43978.0</v>
      </c>
      <c r="B384" s="6" t="s">
        <v>10</v>
      </c>
      <c r="C384" s="6">
        <v>32817.0</v>
      </c>
      <c r="D384" s="6">
        <v>3015751.5</v>
      </c>
      <c r="E384" s="7">
        <f t="array" ref="E384">_xlfn.XLOOKUP($K384,
         'Лист2'!$G$2:$G$505,
         'Лист2'!$C$2:$C$505,
         "не найдено")</f>
        <v>20</v>
      </c>
      <c r="F384" s="7">
        <f t="array" ref="F384">_xlfn.XLOOKUP($K384,
         'Лист2'!$G$2:$G$505,
         'Лист2'!$D$2:$D$505,
         "не найдено")</f>
        <v>2079</v>
      </c>
      <c r="G384" s="7">
        <f t="array" ref="G384">_xlfn.XLOOKUP($K384,
         'Лист2'!$G$2:$G$505,
         'Лист2'!$D$2:$D$505,
         "не найдено")</f>
        <v>2079</v>
      </c>
      <c r="H384" s="8">
        <f t="shared" si="1"/>
        <v>150787.575</v>
      </c>
      <c r="I384" s="8">
        <f t="shared" si="2"/>
        <v>22</v>
      </c>
      <c r="K384" s="8" t="str">
        <f t="shared" si="3"/>
        <v>43978|Кемерово</v>
      </c>
    </row>
    <row r="385" ht="14.25" customHeight="1">
      <c r="A385" s="10">
        <v>43973.0</v>
      </c>
      <c r="B385" s="11" t="s">
        <v>10</v>
      </c>
      <c r="C385" s="11">
        <v>36031.5</v>
      </c>
      <c r="D385" s="11">
        <v>3091069.5</v>
      </c>
      <c r="E385" s="7">
        <f t="array" ref="E385">_xlfn.XLOOKUP($K385,
         'Лист2'!$G$2:$G$505,
         'Лист2'!$C$2:$C$505,
         "не найдено")</f>
        <v>21</v>
      </c>
      <c r="F385" s="7">
        <f t="array" ref="F385">_xlfn.XLOOKUP($K385,
         'Лист2'!$G$2:$G$505,
         'Лист2'!$D$2:$D$505,
         "не найдено")</f>
        <v>2046</v>
      </c>
      <c r="G385" s="7">
        <f t="array" ref="G385">_xlfn.XLOOKUP($K385,
         'Лист2'!$G$2:$G$505,
         'Лист2'!$D$2:$D$505,
         "не найдено")</f>
        <v>2046</v>
      </c>
      <c r="H385" s="8">
        <f t="shared" si="1"/>
        <v>147193.7857</v>
      </c>
      <c r="I385" s="8">
        <f t="shared" si="2"/>
        <v>21</v>
      </c>
      <c r="K385" s="8" t="str">
        <f t="shared" si="3"/>
        <v>43973|Кемерово</v>
      </c>
    </row>
    <row r="386" ht="14.25" customHeight="1">
      <c r="A386" s="5">
        <v>43982.0</v>
      </c>
      <c r="B386" s="6" t="s">
        <v>28</v>
      </c>
      <c r="C386" s="6">
        <v>5127.0</v>
      </c>
      <c r="D386" s="6">
        <v>468835.5</v>
      </c>
      <c r="E386" s="7">
        <f t="array" ref="E386">_xlfn.XLOOKUP($K386,
         'Лист2'!$G$2:$G$505,
         'Лист2'!$C$2:$C$505,
         "не найдено")</f>
        <v>6</v>
      </c>
      <c r="F386" s="7">
        <f t="array" ref="F386">_xlfn.XLOOKUP($K386,
         'Лист2'!$G$2:$G$505,
         'Лист2'!$D$2:$D$505,
         "не найдено")</f>
        <v>261</v>
      </c>
      <c r="G386" s="7">
        <f t="array" ref="G386">_xlfn.XLOOKUP($K386,
         'Лист2'!$G$2:$G$505,
         'Лист2'!$D$2:$D$505,
         "не найдено")</f>
        <v>261</v>
      </c>
      <c r="H386" s="8">
        <f t="shared" si="1"/>
        <v>78139.25</v>
      </c>
      <c r="I386" s="8">
        <f t="shared" si="2"/>
        <v>22</v>
      </c>
      <c r="K386" s="8" t="str">
        <f t="shared" si="3"/>
        <v>43982|Уфа</v>
      </c>
    </row>
    <row r="387" ht="14.25" customHeight="1">
      <c r="A387" s="10">
        <v>43962.0</v>
      </c>
      <c r="B387" s="11" t="s">
        <v>10</v>
      </c>
      <c r="C387" s="11">
        <v>27187.5</v>
      </c>
      <c r="D387" s="11">
        <v>2479396.5</v>
      </c>
      <c r="E387" s="7">
        <f t="array" ref="E387">_xlfn.XLOOKUP($K387,
         'Лист2'!$G$2:$G$505,
         'Лист2'!$C$2:$C$505,
         "не найдено")</f>
        <v>21</v>
      </c>
      <c r="F387" s="7">
        <f t="array" ref="F387">_xlfn.XLOOKUP($K387,
         'Лист2'!$G$2:$G$505,
         'Лист2'!$D$2:$D$505,
         "не найдено")</f>
        <v>1597</v>
      </c>
      <c r="G387" s="7">
        <f t="array" ref="G387">_xlfn.XLOOKUP($K387,
         'Лист2'!$G$2:$G$505,
         'Лист2'!$D$2:$D$505,
         "не найдено")</f>
        <v>1597</v>
      </c>
      <c r="H387" s="8">
        <f t="shared" si="1"/>
        <v>118066.5</v>
      </c>
      <c r="I387" s="8">
        <f t="shared" si="2"/>
        <v>20</v>
      </c>
      <c r="K387" s="8" t="str">
        <f t="shared" si="3"/>
        <v>43962|Кемерово</v>
      </c>
    </row>
    <row r="388" ht="14.25" customHeight="1">
      <c r="A388" s="5">
        <v>43981.0</v>
      </c>
      <c r="B388" s="6" t="s">
        <v>27</v>
      </c>
      <c r="C388" s="6">
        <v>20688.0</v>
      </c>
      <c r="D388" s="6">
        <v>1773154.5</v>
      </c>
      <c r="E388" s="7">
        <f t="array" ref="E388">_xlfn.XLOOKUP($K388,
         'Лист2'!$G$2:$G$505,
         'Лист2'!$C$2:$C$505,
         "не найдено")</f>
        <v>18</v>
      </c>
      <c r="F388" s="7">
        <f t="array" ref="F388">_xlfn.XLOOKUP($K388,
         'Лист2'!$G$2:$G$505,
         'Лист2'!$D$2:$D$505,
         "не найдено")</f>
        <v>1216</v>
      </c>
      <c r="G388" s="7">
        <f t="array" ref="G388">_xlfn.XLOOKUP($K388,
         'Лист2'!$G$2:$G$505,
         'Лист2'!$D$2:$D$505,
         "не найдено")</f>
        <v>1216</v>
      </c>
      <c r="H388" s="8">
        <f t="shared" si="1"/>
        <v>98508.58333</v>
      </c>
      <c r="I388" s="8">
        <f t="shared" si="2"/>
        <v>22</v>
      </c>
      <c r="K388" s="8" t="str">
        <f t="shared" si="3"/>
        <v>43981|Новосибирск</v>
      </c>
    </row>
    <row r="389" ht="14.25" customHeight="1">
      <c r="A389" s="10">
        <v>43979.0</v>
      </c>
      <c r="B389" s="11" t="s">
        <v>27</v>
      </c>
      <c r="C389" s="11">
        <v>15678.0</v>
      </c>
      <c r="D389" s="11">
        <v>1387443.0</v>
      </c>
      <c r="E389" s="7">
        <f t="array" ref="E389">_xlfn.XLOOKUP($K389,
         'Лист2'!$G$2:$G$505,
         'Лист2'!$C$2:$C$505,
         "не найдено")</f>
        <v>18</v>
      </c>
      <c r="F389" s="7">
        <f t="array" ref="F389">_xlfn.XLOOKUP($K389,
         'Лист2'!$G$2:$G$505,
         'Лист2'!$D$2:$D$505,
         "не найдено")</f>
        <v>1020</v>
      </c>
      <c r="G389" s="7">
        <f t="array" ref="G389">_xlfn.XLOOKUP($K389,
         'Лист2'!$G$2:$G$505,
         'Лист2'!$D$2:$D$505,
         "не найдено")</f>
        <v>1020</v>
      </c>
      <c r="H389" s="8">
        <f t="shared" si="1"/>
        <v>77080.16667</v>
      </c>
      <c r="I389" s="8">
        <f t="shared" si="2"/>
        <v>22</v>
      </c>
      <c r="K389" s="8" t="str">
        <f t="shared" si="3"/>
        <v>43979|Новосибирск</v>
      </c>
    </row>
    <row r="390" ht="14.25" customHeight="1">
      <c r="A390" s="5">
        <v>43969.0</v>
      </c>
      <c r="B390" s="6" t="s">
        <v>10</v>
      </c>
      <c r="C390" s="6">
        <v>31329.0</v>
      </c>
      <c r="D390" s="6">
        <v>2826379.5</v>
      </c>
      <c r="E390" s="7">
        <f t="array" ref="E390">_xlfn.XLOOKUP($K390,
         'Лист2'!$G$2:$G$505,
         'Лист2'!$C$2:$C$505,
         "не найдено")</f>
        <v>21</v>
      </c>
      <c r="F390" s="7">
        <f t="array" ref="F390">_xlfn.XLOOKUP($K390,
         'Лист2'!$G$2:$G$505,
         'Лист2'!$D$2:$D$505,
         "не найдено")</f>
        <v>1834</v>
      </c>
      <c r="G390" s="7">
        <f t="array" ref="G390">_xlfn.XLOOKUP($K390,
         'Лист2'!$G$2:$G$505,
         'Лист2'!$D$2:$D$505,
         "не найдено")</f>
        <v>1834</v>
      </c>
      <c r="H390" s="8">
        <f t="shared" si="1"/>
        <v>134589.5</v>
      </c>
      <c r="I390" s="8">
        <f t="shared" si="2"/>
        <v>21</v>
      </c>
      <c r="K390" s="8" t="str">
        <f t="shared" si="3"/>
        <v>43969|Кемерово</v>
      </c>
    </row>
    <row r="391" ht="14.25" customHeight="1">
      <c r="A391" s="10">
        <v>43965.0</v>
      </c>
      <c r="B391" s="11" t="s">
        <v>10</v>
      </c>
      <c r="C391" s="11">
        <v>29658.0</v>
      </c>
      <c r="D391" s="11">
        <v>2703132.0</v>
      </c>
      <c r="E391" s="7">
        <f t="array" ref="E391">_xlfn.XLOOKUP($K391,
         'Лист2'!$G$2:$G$505,
         'Лист2'!$C$2:$C$505,
         "не найдено")</f>
        <v>21</v>
      </c>
      <c r="F391" s="7">
        <f t="array" ref="F391">_xlfn.XLOOKUP($K391,
         'Лист2'!$G$2:$G$505,
         'Лист2'!$D$2:$D$505,
         "не найдено")</f>
        <v>1706</v>
      </c>
      <c r="G391" s="7">
        <f t="array" ref="G391">_xlfn.XLOOKUP($K391,
         'Лист2'!$G$2:$G$505,
         'Лист2'!$D$2:$D$505,
         "не найдено")</f>
        <v>1706</v>
      </c>
      <c r="H391" s="8">
        <f t="shared" si="1"/>
        <v>128720.5714</v>
      </c>
      <c r="I391" s="8">
        <f t="shared" si="2"/>
        <v>20</v>
      </c>
      <c r="K391" s="8" t="str">
        <f t="shared" si="3"/>
        <v>43965|Кемерово</v>
      </c>
    </row>
    <row r="392" ht="14.25" customHeight="1">
      <c r="A392" s="5">
        <v>43966.0</v>
      </c>
      <c r="B392" s="6" t="s">
        <v>10</v>
      </c>
      <c r="C392" s="6">
        <v>34150.5</v>
      </c>
      <c r="D392" s="6">
        <v>3038293.5</v>
      </c>
      <c r="E392" s="7">
        <f t="array" ref="E392">_xlfn.XLOOKUP($K392,
         'Лист2'!$G$2:$G$505,
         'Лист2'!$C$2:$C$505,
         "не найдено")</f>
        <v>21</v>
      </c>
      <c r="F392" s="7">
        <f t="array" ref="F392">_xlfn.XLOOKUP($K392,
         'Лист2'!$G$2:$G$505,
         'Лист2'!$D$2:$D$505,
         "не найдено")</f>
        <v>1926</v>
      </c>
      <c r="G392" s="7">
        <f t="array" ref="G392">_xlfn.XLOOKUP($K392,
         'Лист2'!$G$2:$G$505,
         'Лист2'!$D$2:$D$505,
         "не найдено")</f>
        <v>1926</v>
      </c>
      <c r="H392" s="8">
        <f t="shared" si="1"/>
        <v>144680.6429</v>
      </c>
      <c r="I392" s="8">
        <f t="shared" si="2"/>
        <v>20</v>
      </c>
      <c r="K392" s="8" t="str">
        <f t="shared" si="3"/>
        <v>43966|Кемерово</v>
      </c>
    </row>
    <row r="393" ht="14.25" customHeight="1">
      <c r="A393" s="10">
        <v>43983.0</v>
      </c>
      <c r="B393" s="11" t="s">
        <v>10</v>
      </c>
      <c r="C393" s="11">
        <v>31947.0</v>
      </c>
      <c r="D393" s="11">
        <v>2945035.5</v>
      </c>
      <c r="E393" s="7">
        <f t="array" ref="E393">_xlfn.XLOOKUP($K393,
         'Лист2'!$G$2:$G$505,
         'Лист2'!$C$2:$C$505,
         "не найдено")</f>
        <v>21</v>
      </c>
      <c r="F393" s="7">
        <f t="array" ref="F393">_xlfn.XLOOKUP($K393,
         'Лист2'!$G$2:$G$505,
         'Лист2'!$D$2:$D$505,
         "не найдено")</f>
        <v>2025</v>
      </c>
      <c r="G393" s="7">
        <f t="array" ref="G393">_xlfn.XLOOKUP($K393,
         'Лист2'!$G$2:$G$505,
         'Лист2'!$D$2:$D$505,
         "не найдено")</f>
        <v>2025</v>
      </c>
      <c r="H393" s="8">
        <f t="shared" si="1"/>
        <v>140239.7857</v>
      </c>
      <c r="I393" s="8">
        <f t="shared" si="2"/>
        <v>23</v>
      </c>
      <c r="K393" s="8" t="str">
        <f t="shared" si="3"/>
        <v>43983|Кемерово</v>
      </c>
    </row>
    <row r="394" ht="14.25" customHeight="1">
      <c r="A394" s="5">
        <v>43982.0</v>
      </c>
      <c r="B394" s="6" t="s">
        <v>23</v>
      </c>
      <c r="C394" s="6">
        <v>10416.0</v>
      </c>
      <c r="D394" s="6">
        <v>866023.5</v>
      </c>
      <c r="E394" s="7">
        <f t="array" ref="E394">_xlfn.XLOOKUP($K394,
         'Лист2'!$G$2:$G$505,
         'Лист2'!$C$2:$C$505,
         "не найдено")</f>
        <v>7</v>
      </c>
      <c r="F394" s="7">
        <f t="array" ref="F394">_xlfn.XLOOKUP($K394,
         'Лист2'!$G$2:$G$505,
         'Лист2'!$D$2:$D$505,
         "не найдено")</f>
        <v>530</v>
      </c>
      <c r="G394" s="7">
        <f t="array" ref="G394">_xlfn.XLOOKUP($K394,
         'Лист2'!$G$2:$G$505,
         'Лист2'!$D$2:$D$505,
         "не найдено")</f>
        <v>530</v>
      </c>
      <c r="H394" s="8">
        <f t="shared" si="1"/>
        <v>123717.6429</v>
      </c>
      <c r="I394" s="8">
        <f t="shared" si="2"/>
        <v>22</v>
      </c>
      <c r="K394" s="8" t="str">
        <f t="shared" si="3"/>
        <v>43982|Тюмень</v>
      </c>
    </row>
    <row r="395" ht="14.25" customHeight="1">
      <c r="A395" s="10">
        <v>43980.0</v>
      </c>
      <c r="B395" s="11" t="s">
        <v>10</v>
      </c>
      <c r="C395" s="11">
        <v>35431.5</v>
      </c>
      <c r="D395" s="11">
        <v>3193167.0</v>
      </c>
      <c r="E395" s="7">
        <f t="array" ref="E395">_xlfn.XLOOKUP($K395,
         'Лист2'!$G$2:$G$505,
         'Лист2'!$C$2:$C$505,
         "не найдено")</f>
        <v>20</v>
      </c>
      <c r="F395" s="7">
        <f t="array" ref="F395">_xlfn.XLOOKUP($K395,
         'Лист2'!$G$2:$G$505,
         'Лист2'!$D$2:$D$505,
         "не найдено")</f>
        <v>2111</v>
      </c>
      <c r="G395" s="7">
        <f t="array" ref="G395">_xlfn.XLOOKUP($K395,
         'Лист2'!$G$2:$G$505,
         'Лист2'!$D$2:$D$505,
         "не найдено")</f>
        <v>2111</v>
      </c>
      <c r="H395" s="8">
        <f t="shared" si="1"/>
        <v>159658.35</v>
      </c>
      <c r="I395" s="8">
        <f t="shared" si="2"/>
        <v>22</v>
      </c>
      <c r="K395" s="8" t="str">
        <f t="shared" si="3"/>
        <v>43980|Кемерово</v>
      </c>
    </row>
    <row r="396" ht="14.25" customHeight="1">
      <c r="A396" s="5">
        <v>43978.0</v>
      </c>
      <c r="B396" s="6" t="s">
        <v>17</v>
      </c>
      <c r="C396" s="6">
        <v>78544.5</v>
      </c>
      <c r="D396" s="6">
        <v>6701083.5</v>
      </c>
      <c r="E396" s="7">
        <f t="array" ref="E396">_xlfn.XLOOKUP($K396,
         'Лист2'!$G$2:$G$505,
         'Лист2'!$C$2:$C$505,
         "не найдено")</f>
        <v>31</v>
      </c>
      <c r="F396" s="7">
        <f t="array" ref="F396">_xlfn.XLOOKUP($K396,
         'Лист2'!$G$2:$G$505,
         'Лист2'!$D$2:$D$505,
         "не найдено")</f>
        <v>5330</v>
      </c>
      <c r="G396" s="7">
        <f t="array" ref="G396">_xlfn.XLOOKUP($K396,
         'Лист2'!$G$2:$G$505,
         'Лист2'!$D$2:$D$505,
         "не найдено")</f>
        <v>5330</v>
      </c>
      <c r="H396" s="8">
        <f t="shared" si="1"/>
        <v>216163.9839</v>
      </c>
      <c r="I396" s="8">
        <f t="shared" si="2"/>
        <v>22</v>
      </c>
      <c r="K396" s="8" t="str">
        <f t="shared" si="3"/>
        <v>43978|Екатеринбург</v>
      </c>
    </row>
    <row r="397" ht="14.25" customHeight="1">
      <c r="A397" s="10">
        <v>43973.0</v>
      </c>
      <c r="B397" s="11" t="s">
        <v>17</v>
      </c>
      <c r="C397" s="11">
        <v>97963.5</v>
      </c>
      <c r="D397" s="11">
        <v>7728465.0</v>
      </c>
      <c r="E397" s="7">
        <f t="array" ref="E397">_xlfn.XLOOKUP($K397,
         'Лист2'!$G$2:$G$505,
         'Лист2'!$C$2:$C$505,
         "не найдено")</f>
        <v>31</v>
      </c>
      <c r="F397" s="7">
        <f t="array" ref="F397">_xlfn.XLOOKUP($K397,
         'Лист2'!$G$2:$G$505,
         'Лист2'!$D$2:$D$505,
         "не найдено")</f>
        <v>5965</v>
      </c>
      <c r="G397" s="7">
        <f t="array" ref="G397">_xlfn.XLOOKUP($K397,
         'Лист2'!$G$2:$G$505,
         'Лист2'!$D$2:$D$505,
         "не найдено")</f>
        <v>5965</v>
      </c>
      <c r="H397" s="8">
        <f t="shared" si="1"/>
        <v>249305.3226</v>
      </c>
      <c r="I397" s="8">
        <f t="shared" si="2"/>
        <v>21</v>
      </c>
      <c r="K397" s="8" t="str">
        <f t="shared" si="3"/>
        <v>43973|Екатеринбург</v>
      </c>
    </row>
    <row r="398" ht="14.25" customHeight="1">
      <c r="A398" s="5">
        <v>43983.0</v>
      </c>
      <c r="B398" s="6" t="s">
        <v>17</v>
      </c>
      <c r="C398" s="6">
        <v>77269.5</v>
      </c>
      <c r="D398" s="6">
        <v>6829921.5</v>
      </c>
      <c r="E398" s="7">
        <f t="array" ref="E398">_xlfn.XLOOKUP($K398,
         'Лист2'!$G$2:$G$505,
         'Лист2'!$C$2:$C$505,
         "не найдено")</f>
        <v>31</v>
      </c>
      <c r="F398" s="7">
        <f t="array" ref="F398">_xlfn.XLOOKUP($K398,
         'Лист2'!$G$2:$G$505,
         'Лист2'!$D$2:$D$505,
         "не найдено")</f>
        <v>5468</v>
      </c>
      <c r="G398" s="7">
        <f t="array" ref="G398">_xlfn.XLOOKUP($K398,
         'Лист2'!$G$2:$G$505,
         'Лист2'!$D$2:$D$505,
         "не найдено")</f>
        <v>5468</v>
      </c>
      <c r="H398" s="8">
        <f t="shared" si="1"/>
        <v>220320.0484</v>
      </c>
      <c r="I398" s="8">
        <f t="shared" si="2"/>
        <v>23</v>
      </c>
      <c r="K398" s="8" t="str">
        <f t="shared" si="3"/>
        <v>43983|Екатеринбург</v>
      </c>
    </row>
    <row r="399" ht="14.25" customHeight="1">
      <c r="A399" s="10">
        <v>43982.0</v>
      </c>
      <c r="B399" s="11" t="s">
        <v>27</v>
      </c>
      <c r="C399" s="11">
        <v>16143.0</v>
      </c>
      <c r="D399" s="11">
        <v>1423410.0</v>
      </c>
      <c r="E399" s="7">
        <f t="array" ref="E399">_xlfn.XLOOKUP($K399,
         'Лист2'!$G$2:$G$505,
         'Лист2'!$C$2:$C$505,
         "не найдено")</f>
        <v>18</v>
      </c>
      <c r="F399" s="7">
        <f t="array" ref="F399">_xlfn.XLOOKUP($K399,
         'Лист2'!$G$2:$G$505,
         'Лист2'!$D$2:$D$505,
         "не найдено")</f>
        <v>1029</v>
      </c>
      <c r="G399" s="7">
        <f t="array" ref="G399">_xlfn.XLOOKUP($K399,
         'Лист2'!$G$2:$G$505,
         'Лист2'!$D$2:$D$505,
         "не найдено")</f>
        <v>1029</v>
      </c>
      <c r="H399" s="8">
        <f t="shared" si="1"/>
        <v>79078.33333</v>
      </c>
      <c r="I399" s="8">
        <f t="shared" si="2"/>
        <v>22</v>
      </c>
      <c r="K399" s="8" t="str">
        <f t="shared" si="3"/>
        <v>43982|Новосибирск</v>
      </c>
    </row>
    <row r="400" ht="14.25" customHeight="1">
      <c r="A400" s="5">
        <v>43962.0</v>
      </c>
      <c r="B400" s="6" t="s">
        <v>17</v>
      </c>
      <c r="C400" s="6">
        <v>72220.5</v>
      </c>
      <c r="D400" s="6">
        <v>6398719.5</v>
      </c>
      <c r="E400" s="7">
        <f t="array" ref="E400">_xlfn.XLOOKUP($K400,
         'Лист2'!$G$2:$G$505,
         'Лист2'!$C$2:$C$505,
         "не найдено")</f>
        <v>31</v>
      </c>
      <c r="F400" s="7">
        <f t="array" ref="F400">_xlfn.XLOOKUP($K400,
         'Лист2'!$G$2:$G$505,
         'Лист2'!$D$2:$D$505,
         "не найдено")</f>
        <v>4826</v>
      </c>
      <c r="G400" s="7">
        <f t="array" ref="G400">_xlfn.XLOOKUP($K400,
         'Лист2'!$G$2:$G$505,
         'Лист2'!$D$2:$D$505,
         "не найдено")</f>
        <v>4826</v>
      </c>
      <c r="H400" s="8">
        <f t="shared" si="1"/>
        <v>206410.3065</v>
      </c>
      <c r="I400" s="8">
        <f t="shared" si="2"/>
        <v>20</v>
      </c>
      <c r="K400" s="8" t="str">
        <f t="shared" si="3"/>
        <v>43962|Екатеринбург</v>
      </c>
    </row>
    <row r="401" ht="14.25" customHeight="1">
      <c r="A401" s="10">
        <v>43969.0</v>
      </c>
      <c r="B401" s="11" t="s">
        <v>17</v>
      </c>
      <c r="C401" s="11">
        <v>78058.5</v>
      </c>
      <c r="D401" s="11">
        <v>6609714.0</v>
      </c>
      <c r="E401" s="7">
        <f t="array" ref="E401">_xlfn.XLOOKUP($K401,
         'Лист2'!$G$2:$G$505,
         'Лист2'!$C$2:$C$505,
         "не найдено")</f>
        <v>31</v>
      </c>
      <c r="F401" s="7">
        <f t="array" ref="F401">_xlfn.XLOOKUP($K401,
         'Лист2'!$G$2:$G$505,
         'Лист2'!$D$2:$D$505,
         "не найдено")</f>
        <v>5165</v>
      </c>
      <c r="G401" s="7">
        <f t="array" ref="G401">_xlfn.XLOOKUP($K401,
         'Лист2'!$G$2:$G$505,
         'Лист2'!$D$2:$D$505,
         "не найдено")</f>
        <v>5165</v>
      </c>
      <c r="H401" s="8">
        <f t="shared" si="1"/>
        <v>213216.5806</v>
      </c>
      <c r="I401" s="8">
        <f t="shared" si="2"/>
        <v>21</v>
      </c>
      <c r="K401" s="8" t="str">
        <f t="shared" si="3"/>
        <v>43969|Екатеринбург</v>
      </c>
    </row>
    <row r="402" ht="14.25" customHeight="1">
      <c r="A402" s="5">
        <v>43965.0</v>
      </c>
      <c r="B402" s="6" t="s">
        <v>17</v>
      </c>
      <c r="C402" s="6">
        <v>70498.5</v>
      </c>
      <c r="D402" s="6">
        <v>6053649.0</v>
      </c>
      <c r="E402" s="7">
        <f t="array" ref="E402">_xlfn.XLOOKUP($K402,
         'Лист2'!$G$2:$G$505,
         'Лист2'!$C$2:$C$505,
         "не найдено")</f>
        <v>31</v>
      </c>
      <c r="F402" s="7">
        <f t="array" ref="F402">_xlfn.XLOOKUP($K402,
         'Лист2'!$G$2:$G$505,
         'Лист2'!$D$2:$D$505,
         "не найдено")</f>
        <v>4695</v>
      </c>
      <c r="G402" s="7">
        <f t="array" ref="G402">_xlfn.XLOOKUP($K402,
         'Лист2'!$G$2:$G$505,
         'Лист2'!$D$2:$D$505,
         "не найдено")</f>
        <v>4695</v>
      </c>
      <c r="H402" s="8">
        <f t="shared" si="1"/>
        <v>195279</v>
      </c>
      <c r="I402" s="8">
        <f t="shared" si="2"/>
        <v>20</v>
      </c>
      <c r="K402" s="8" t="str">
        <f t="shared" si="3"/>
        <v>43965|Екатеринбург</v>
      </c>
    </row>
    <row r="403" ht="14.25" customHeight="1">
      <c r="A403" s="10">
        <v>43966.0</v>
      </c>
      <c r="B403" s="11" t="s">
        <v>17</v>
      </c>
      <c r="C403" s="11">
        <v>78961.5</v>
      </c>
      <c r="D403" s="11">
        <v>6876454.5</v>
      </c>
      <c r="E403" s="7">
        <f t="array" ref="E403">_xlfn.XLOOKUP($K403,
         'Лист2'!$G$2:$G$505,
         'Лист2'!$C$2:$C$505,
         "не найдено")</f>
        <v>31</v>
      </c>
      <c r="F403" s="7">
        <f t="array" ref="F403">_xlfn.XLOOKUP($K403,
         'Лист2'!$G$2:$G$505,
         'Лист2'!$D$2:$D$505,
         "не найдено")</f>
        <v>5184</v>
      </c>
      <c r="G403" s="7">
        <f t="array" ref="G403">_xlfn.XLOOKUP($K403,
         'Лист2'!$G$2:$G$505,
         'Лист2'!$D$2:$D$505,
         "не найдено")</f>
        <v>5184</v>
      </c>
      <c r="H403" s="8">
        <f t="shared" si="1"/>
        <v>221821.1129</v>
      </c>
      <c r="I403" s="8">
        <f t="shared" si="2"/>
        <v>20</v>
      </c>
      <c r="K403" s="8" t="str">
        <f t="shared" si="3"/>
        <v>43966|Екатеринбург</v>
      </c>
    </row>
    <row r="404" ht="14.25" customHeight="1">
      <c r="A404" s="5">
        <v>43978.0</v>
      </c>
      <c r="B404" s="6" t="s">
        <v>25</v>
      </c>
      <c r="C404" s="6">
        <v>12490.5</v>
      </c>
      <c r="D404" s="6">
        <v>1054798.5</v>
      </c>
      <c r="E404" s="7">
        <f t="array" ref="E404">_xlfn.XLOOKUP($K404,
         'Лист2'!$G$2:$G$505,
         'Лист2'!$C$2:$C$505,
         "не найдено")</f>
        <v>10</v>
      </c>
      <c r="F404" s="7">
        <f t="array" ref="F404">_xlfn.XLOOKUP($K404,
         'Лист2'!$G$2:$G$505,
         'Лист2'!$D$2:$D$505,
         "не найдено")</f>
        <v>757</v>
      </c>
      <c r="G404" s="7">
        <f t="array" ref="G404">_xlfn.XLOOKUP($K404,
         'Лист2'!$G$2:$G$505,
         'Лист2'!$D$2:$D$505,
         "не найдено")</f>
        <v>757</v>
      </c>
      <c r="H404" s="8">
        <f t="shared" si="1"/>
        <v>105479.85</v>
      </c>
      <c r="I404" s="8">
        <f t="shared" si="2"/>
        <v>22</v>
      </c>
      <c r="K404" s="8" t="str">
        <f t="shared" si="3"/>
        <v>43978|Тольятти</v>
      </c>
    </row>
    <row r="405" ht="14.25" customHeight="1">
      <c r="A405" s="10">
        <v>43973.0</v>
      </c>
      <c r="B405" s="11" t="s">
        <v>25</v>
      </c>
      <c r="C405" s="11">
        <v>18036.0</v>
      </c>
      <c r="D405" s="11">
        <v>1455049.5</v>
      </c>
      <c r="E405" s="7">
        <f t="array" ref="E405">_xlfn.XLOOKUP($K405,
         'Лист2'!$G$2:$G$505,
         'Лист2'!$C$2:$C$505,
         "не найдено")</f>
        <v>10</v>
      </c>
      <c r="F405" s="7">
        <f t="array" ref="F405">_xlfn.XLOOKUP($K405,
         'Лист2'!$G$2:$G$505,
         'Лист2'!$D$2:$D$505,
         "не найдено")</f>
        <v>965</v>
      </c>
      <c r="G405" s="7">
        <f t="array" ref="G405">_xlfn.XLOOKUP($K405,
         'Лист2'!$G$2:$G$505,
         'Лист2'!$D$2:$D$505,
         "не найдено")</f>
        <v>965</v>
      </c>
      <c r="H405" s="8">
        <f t="shared" si="1"/>
        <v>145504.95</v>
      </c>
      <c r="I405" s="8">
        <f t="shared" si="2"/>
        <v>21</v>
      </c>
      <c r="K405" s="8" t="str">
        <f t="shared" si="3"/>
        <v>43973|Тольятти</v>
      </c>
    </row>
    <row r="406" ht="14.25" customHeight="1">
      <c r="A406" s="5">
        <v>43983.0</v>
      </c>
      <c r="B406" s="6" t="s">
        <v>25</v>
      </c>
      <c r="C406" s="6">
        <v>11416.5</v>
      </c>
      <c r="D406" s="6">
        <v>1007742.0</v>
      </c>
      <c r="E406" s="7">
        <f t="array" ref="E406">_xlfn.XLOOKUP($K406,
         'Лист2'!$G$2:$G$505,
         'Лист2'!$C$2:$C$505,
         "не найдено")</f>
        <v>10</v>
      </c>
      <c r="F406" s="7">
        <f t="array" ref="F406">_xlfn.XLOOKUP($K406,
         'Лист2'!$G$2:$G$505,
         'Лист2'!$D$2:$D$505,
         "не найдено")</f>
        <v>719</v>
      </c>
      <c r="G406" s="7">
        <f t="array" ref="G406">_xlfn.XLOOKUP($K406,
         'Лист2'!$G$2:$G$505,
         'Лист2'!$D$2:$D$505,
         "не найдено")</f>
        <v>719</v>
      </c>
      <c r="H406" s="8">
        <f t="shared" si="1"/>
        <v>100774.2</v>
      </c>
      <c r="I406" s="8">
        <f t="shared" si="2"/>
        <v>23</v>
      </c>
      <c r="K406" s="8" t="str">
        <f t="shared" si="3"/>
        <v>43983|Тольятти</v>
      </c>
    </row>
    <row r="407" ht="14.25" customHeight="1">
      <c r="A407" s="10">
        <v>43962.0</v>
      </c>
      <c r="B407" s="11" t="s">
        <v>25</v>
      </c>
      <c r="C407" s="11">
        <v>9007.5</v>
      </c>
      <c r="D407" s="11">
        <v>734335.5</v>
      </c>
      <c r="E407" s="7">
        <f t="array" ref="E407">_xlfn.XLOOKUP($K407,
         'Лист2'!$G$2:$G$505,
         'Лист2'!$C$2:$C$505,
         "не найдено")</f>
        <v>10</v>
      </c>
      <c r="F407" s="7">
        <f t="array" ref="F407">_xlfn.XLOOKUP($K407,
         'Лист2'!$G$2:$G$505,
         'Лист2'!$D$2:$D$505,
         "не найдено")</f>
        <v>494</v>
      </c>
      <c r="G407" s="7">
        <f t="array" ref="G407">_xlfn.XLOOKUP($K407,
         'Лист2'!$G$2:$G$505,
         'Лист2'!$D$2:$D$505,
         "не найдено")</f>
        <v>494</v>
      </c>
      <c r="H407" s="8">
        <f t="shared" si="1"/>
        <v>73433.55</v>
      </c>
      <c r="I407" s="8">
        <f t="shared" si="2"/>
        <v>20</v>
      </c>
      <c r="K407" s="8" t="str">
        <f t="shared" si="3"/>
        <v>43962|Тольятти</v>
      </c>
    </row>
    <row r="408" ht="14.25" customHeight="1">
      <c r="A408" s="5">
        <v>43980.0</v>
      </c>
      <c r="B408" s="6" t="s">
        <v>17</v>
      </c>
      <c r="C408" s="6">
        <v>87552.0</v>
      </c>
      <c r="D408" s="6">
        <v>7387116.0</v>
      </c>
      <c r="E408" s="7">
        <f t="array" ref="E408">_xlfn.XLOOKUP($K408,
         'Лист2'!$G$2:$G$505,
         'Лист2'!$C$2:$C$505,
         "не найдено")</f>
        <v>31</v>
      </c>
      <c r="F408" s="7">
        <f t="array" ref="F408">_xlfn.XLOOKUP($K408,
         'Лист2'!$G$2:$G$505,
         'Лист2'!$D$2:$D$505,
         "не найдено")</f>
        <v>5751</v>
      </c>
      <c r="G408" s="7">
        <f t="array" ref="G408">_xlfn.XLOOKUP($K408,
         'Лист2'!$G$2:$G$505,
         'Лист2'!$D$2:$D$505,
         "не найдено")</f>
        <v>5751</v>
      </c>
      <c r="H408" s="8">
        <f t="shared" si="1"/>
        <v>238294.0645</v>
      </c>
      <c r="I408" s="8">
        <f t="shared" si="2"/>
        <v>22</v>
      </c>
      <c r="K408" s="8" t="str">
        <f t="shared" si="3"/>
        <v>43980|Екатеринбург</v>
      </c>
    </row>
    <row r="409" ht="14.25" customHeight="1">
      <c r="A409" s="10">
        <v>43969.0</v>
      </c>
      <c r="B409" s="11" t="s">
        <v>25</v>
      </c>
      <c r="C409" s="11">
        <v>11680.5</v>
      </c>
      <c r="D409" s="11">
        <v>936427.5</v>
      </c>
      <c r="E409" s="7">
        <f t="array" ref="E409">_xlfn.XLOOKUP($K409,
         'Лист2'!$G$2:$G$505,
         'Лист2'!$C$2:$C$505,
         "не найдено")</f>
        <v>10</v>
      </c>
      <c r="F409" s="7">
        <f t="array" ref="F409">_xlfn.XLOOKUP($K409,
         'Лист2'!$G$2:$G$505,
         'Лист2'!$D$2:$D$505,
         "не найдено")</f>
        <v>645</v>
      </c>
      <c r="G409" s="7">
        <f t="array" ref="G409">_xlfn.XLOOKUP($K409,
         'Лист2'!$G$2:$G$505,
         'Лист2'!$D$2:$D$505,
         "не найдено")</f>
        <v>645</v>
      </c>
      <c r="H409" s="8">
        <f t="shared" si="1"/>
        <v>93642.75</v>
      </c>
      <c r="I409" s="8">
        <f t="shared" si="2"/>
        <v>21</v>
      </c>
      <c r="K409" s="8" t="str">
        <f t="shared" si="3"/>
        <v>43969|Тольятти</v>
      </c>
    </row>
    <row r="410" ht="14.25" customHeight="1">
      <c r="A410" s="5">
        <v>43965.0</v>
      </c>
      <c r="B410" s="6" t="s">
        <v>25</v>
      </c>
      <c r="C410" s="6">
        <v>12037.5</v>
      </c>
      <c r="D410" s="6">
        <v>981564.0</v>
      </c>
      <c r="E410" s="7">
        <f t="array" ref="E410">_xlfn.XLOOKUP($K410,
         'Лист2'!$G$2:$G$505,
         'Лист2'!$C$2:$C$505,
         "не найдено")</f>
        <v>10</v>
      </c>
      <c r="F410" s="7">
        <f t="array" ref="F410">_xlfn.XLOOKUP($K410,
         'Лист2'!$G$2:$G$505,
         'Лист2'!$D$2:$D$505,
         "не найдено")</f>
        <v>627</v>
      </c>
      <c r="G410" s="7">
        <f t="array" ref="G410">_xlfn.XLOOKUP($K410,
         'Лист2'!$G$2:$G$505,
         'Лист2'!$D$2:$D$505,
         "не найдено")</f>
        <v>627</v>
      </c>
      <c r="H410" s="8">
        <f t="shared" si="1"/>
        <v>98156.4</v>
      </c>
      <c r="I410" s="8">
        <f t="shared" si="2"/>
        <v>20</v>
      </c>
      <c r="K410" s="8" t="str">
        <f t="shared" si="3"/>
        <v>43965|Тольятти</v>
      </c>
    </row>
    <row r="411" ht="14.25" customHeight="1">
      <c r="A411" s="10">
        <v>43966.0</v>
      </c>
      <c r="B411" s="11" t="s">
        <v>25</v>
      </c>
      <c r="C411" s="11">
        <v>14421.0</v>
      </c>
      <c r="D411" s="11">
        <v>1150579.5</v>
      </c>
      <c r="E411" s="7">
        <f t="array" ref="E411">_xlfn.XLOOKUP($K411,
         'Лист2'!$G$2:$G$505,
         'Лист2'!$C$2:$C$505,
         "не найдено")</f>
        <v>10</v>
      </c>
      <c r="F411" s="7">
        <f t="array" ref="F411">_xlfn.XLOOKUP($K411,
         'Лист2'!$G$2:$G$505,
         'Лист2'!$D$2:$D$505,
         "не найдено")</f>
        <v>743</v>
      </c>
      <c r="G411" s="7">
        <f t="array" ref="G411">_xlfn.XLOOKUP($K411,
         'Лист2'!$G$2:$G$505,
         'Лист2'!$D$2:$D$505,
         "не найдено")</f>
        <v>743</v>
      </c>
      <c r="H411" s="8">
        <f t="shared" si="1"/>
        <v>115057.95</v>
      </c>
      <c r="I411" s="8">
        <f t="shared" si="2"/>
        <v>20</v>
      </c>
      <c r="K411" s="8" t="str">
        <f t="shared" si="3"/>
        <v>43966|Тольятти</v>
      </c>
    </row>
    <row r="412" ht="14.25" customHeight="1">
      <c r="A412" s="5">
        <v>43980.0</v>
      </c>
      <c r="B412" s="6" t="s">
        <v>25</v>
      </c>
      <c r="C412" s="6">
        <v>14823.0</v>
      </c>
      <c r="D412" s="6">
        <v>1273464.0</v>
      </c>
      <c r="E412" s="7">
        <f t="array" ref="E412">_xlfn.XLOOKUP($K412,
         'Лист2'!$G$2:$G$505,
         'Лист2'!$C$2:$C$505,
         "не найдено")</f>
        <v>10</v>
      </c>
      <c r="F412" s="7">
        <f t="array" ref="F412">_xlfn.XLOOKUP($K412,
         'Лист2'!$G$2:$G$505,
         'Лист2'!$D$2:$D$505,
         "не найдено")</f>
        <v>873</v>
      </c>
      <c r="G412" s="7">
        <f t="array" ref="G412">_xlfn.XLOOKUP($K412,
         'Лист2'!$G$2:$G$505,
         'Лист2'!$D$2:$D$505,
         "не найдено")</f>
        <v>873</v>
      </c>
      <c r="H412" s="8">
        <f t="shared" si="1"/>
        <v>127346.4</v>
      </c>
      <c r="I412" s="8">
        <f t="shared" si="2"/>
        <v>22</v>
      </c>
      <c r="K412" s="8" t="str">
        <f t="shared" si="3"/>
        <v>43980|Тольятти</v>
      </c>
    </row>
    <row r="413" ht="14.25" customHeight="1">
      <c r="A413" s="10">
        <v>43978.0</v>
      </c>
      <c r="B413" s="11" t="s">
        <v>21</v>
      </c>
      <c r="C413" s="11">
        <v>31257.0</v>
      </c>
      <c r="D413" s="11">
        <v>2924133.0</v>
      </c>
      <c r="E413" s="7">
        <f t="array" ref="E413">_xlfn.XLOOKUP($K413,
         'Лист2'!$G$2:$G$505,
         'Лист2'!$C$2:$C$505,
         "не найдено")</f>
        <v>20</v>
      </c>
      <c r="F413" s="7">
        <f t="array" ref="F413">_xlfn.XLOOKUP($K413,
         'Лист2'!$G$2:$G$505,
         'Лист2'!$D$2:$D$505,
         "не найдено")</f>
        <v>2079</v>
      </c>
      <c r="G413" s="7">
        <f t="array" ref="G413">_xlfn.XLOOKUP($K413,
         'Лист2'!$G$2:$G$505,
         'Лист2'!$D$2:$D$505,
         "не найдено")</f>
        <v>2079</v>
      </c>
      <c r="H413" s="8">
        <f t="shared" si="1"/>
        <v>146206.65</v>
      </c>
      <c r="I413" s="8">
        <f t="shared" si="2"/>
        <v>22</v>
      </c>
      <c r="K413" s="8" t="str">
        <f t="shared" si="3"/>
        <v>43978|Нижний Новгород</v>
      </c>
    </row>
    <row r="414" ht="14.25" customHeight="1">
      <c r="A414" s="5">
        <v>43973.0</v>
      </c>
      <c r="B414" s="6" t="s">
        <v>21</v>
      </c>
      <c r="C414" s="6">
        <v>38074.5</v>
      </c>
      <c r="D414" s="6">
        <v>3414180.0</v>
      </c>
      <c r="E414" s="7">
        <f t="array" ref="E414">_xlfn.XLOOKUP($K414,
         'Лист2'!$G$2:$G$505,
         'Лист2'!$C$2:$C$505,
         "не найдено")</f>
        <v>20</v>
      </c>
      <c r="F414" s="7">
        <f t="array" ref="F414">_xlfn.XLOOKUP($K414,
         'Лист2'!$G$2:$G$505,
         'Лист2'!$D$2:$D$505,
         "не найдено")</f>
        <v>2306</v>
      </c>
      <c r="G414" s="7">
        <f t="array" ref="G414">_xlfn.XLOOKUP($K414,
         'Лист2'!$G$2:$G$505,
         'Лист2'!$D$2:$D$505,
         "не найдено")</f>
        <v>2306</v>
      </c>
      <c r="H414" s="8">
        <f t="shared" si="1"/>
        <v>170709</v>
      </c>
      <c r="I414" s="8">
        <f t="shared" si="2"/>
        <v>21</v>
      </c>
      <c r="K414" s="8" t="str">
        <f t="shared" si="3"/>
        <v>43973|Нижний Новгород</v>
      </c>
    </row>
    <row r="415" ht="14.25" customHeight="1">
      <c r="A415" s="10">
        <v>43983.0</v>
      </c>
      <c r="B415" s="11" t="s">
        <v>21</v>
      </c>
      <c r="C415" s="11">
        <v>32170.5</v>
      </c>
      <c r="D415" s="11">
        <v>3013512.0</v>
      </c>
      <c r="E415" s="7">
        <f t="array" ref="E415">_xlfn.XLOOKUP($K415,
         'Лист2'!$G$2:$G$505,
         'Лист2'!$C$2:$C$505,
         "не найдено")</f>
        <v>20</v>
      </c>
      <c r="F415" s="7">
        <f t="array" ref="F415">_xlfn.XLOOKUP($K415,
         'Лист2'!$G$2:$G$505,
         'Лист2'!$D$2:$D$505,
         "не найдено")</f>
        <v>2136</v>
      </c>
      <c r="G415" s="7">
        <f t="array" ref="G415">_xlfn.XLOOKUP($K415,
         'Лист2'!$G$2:$G$505,
         'Лист2'!$D$2:$D$505,
         "не найдено")</f>
        <v>2136</v>
      </c>
      <c r="H415" s="8">
        <f t="shared" si="1"/>
        <v>150675.6</v>
      </c>
      <c r="I415" s="8">
        <f t="shared" si="2"/>
        <v>23</v>
      </c>
      <c r="K415" s="8" t="str">
        <f t="shared" si="3"/>
        <v>43983|Нижний Новгород</v>
      </c>
    </row>
    <row r="416" ht="14.25" customHeight="1">
      <c r="A416" s="5">
        <v>43962.0</v>
      </c>
      <c r="B416" s="6" t="s">
        <v>21</v>
      </c>
      <c r="C416" s="6">
        <v>42397.5</v>
      </c>
      <c r="D416" s="6">
        <v>3911979.0</v>
      </c>
      <c r="E416" s="7">
        <f t="array" ref="E416">_xlfn.XLOOKUP($K416,
         'Лист2'!$G$2:$G$505,
         'Лист2'!$C$2:$C$505,
         "не найдено")</f>
        <v>19</v>
      </c>
      <c r="F416" s="7">
        <f t="array" ref="F416">_xlfn.XLOOKUP($K416,
         'Лист2'!$G$2:$G$505,
         'Лист2'!$D$2:$D$505,
         "не найдено")</f>
        <v>2530</v>
      </c>
      <c r="G416" s="7">
        <f t="array" ref="G416">_xlfn.XLOOKUP($K416,
         'Лист2'!$G$2:$G$505,
         'Лист2'!$D$2:$D$505,
         "не найдено")</f>
        <v>2530</v>
      </c>
      <c r="H416" s="8">
        <f t="shared" si="1"/>
        <v>205893.6316</v>
      </c>
      <c r="I416" s="8">
        <f t="shared" si="2"/>
        <v>20</v>
      </c>
      <c r="K416" s="8" t="str">
        <f t="shared" si="3"/>
        <v>43962|Нижний Новгород</v>
      </c>
    </row>
    <row r="417" ht="14.25" customHeight="1">
      <c r="A417" s="10">
        <v>43969.0</v>
      </c>
      <c r="B417" s="11" t="s">
        <v>21</v>
      </c>
      <c r="C417" s="11">
        <v>28668.0</v>
      </c>
      <c r="D417" s="11">
        <v>2588148.0</v>
      </c>
      <c r="E417" s="7">
        <f t="array" ref="E417">_xlfn.XLOOKUP($K417,
         'Лист2'!$G$2:$G$505,
         'Лист2'!$C$2:$C$505,
         "не найдено")</f>
        <v>19</v>
      </c>
      <c r="F417" s="7">
        <f t="array" ref="F417">_xlfn.XLOOKUP($K417,
         'Лист2'!$G$2:$G$505,
         'Лист2'!$D$2:$D$505,
         "не найдено")</f>
        <v>1858</v>
      </c>
      <c r="G417" s="7">
        <f t="array" ref="G417">_xlfn.XLOOKUP($K417,
         'Лист2'!$G$2:$G$505,
         'Лист2'!$D$2:$D$505,
         "не найдено")</f>
        <v>1858</v>
      </c>
      <c r="H417" s="8">
        <f t="shared" si="1"/>
        <v>136218.3158</v>
      </c>
      <c r="I417" s="8">
        <f t="shared" si="2"/>
        <v>21</v>
      </c>
      <c r="K417" s="8" t="str">
        <f t="shared" si="3"/>
        <v>43969|Нижний Новгород</v>
      </c>
    </row>
    <row r="418" ht="14.25" customHeight="1">
      <c r="A418" s="5">
        <v>43965.0</v>
      </c>
      <c r="B418" s="6" t="s">
        <v>21</v>
      </c>
      <c r="C418" s="6">
        <v>27411.0</v>
      </c>
      <c r="D418" s="6">
        <v>2441520.0</v>
      </c>
      <c r="E418" s="7">
        <f t="array" ref="E418">_xlfn.XLOOKUP($K418,
         'Лист2'!$G$2:$G$505,
         'Лист2'!$C$2:$C$505,
         "не найдено")</f>
        <v>19</v>
      </c>
      <c r="F418" s="7">
        <f t="array" ref="F418">_xlfn.XLOOKUP($K418,
         'Лист2'!$G$2:$G$505,
         'Лист2'!$D$2:$D$505,
         "не найдено")</f>
        <v>1675</v>
      </c>
      <c r="G418" s="7">
        <f t="array" ref="G418">_xlfn.XLOOKUP($K418,
         'Лист2'!$G$2:$G$505,
         'Лист2'!$D$2:$D$505,
         "не найдено")</f>
        <v>1675</v>
      </c>
      <c r="H418" s="8">
        <f t="shared" si="1"/>
        <v>128501.0526</v>
      </c>
      <c r="I418" s="8">
        <f t="shared" si="2"/>
        <v>20</v>
      </c>
      <c r="K418" s="8" t="str">
        <f t="shared" si="3"/>
        <v>43965|Нижний Новгород</v>
      </c>
    </row>
    <row r="419" ht="14.25" customHeight="1">
      <c r="A419" s="10">
        <v>43966.0</v>
      </c>
      <c r="B419" s="11" t="s">
        <v>21</v>
      </c>
      <c r="C419" s="11">
        <v>32854.5</v>
      </c>
      <c r="D419" s="11">
        <v>2949078.0</v>
      </c>
      <c r="E419" s="7">
        <f t="array" ref="E419">_xlfn.XLOOKUP($K419,
         'Лист2'!$G$2:$G$505,
         'Лист2'!$C$2:$C$505,
         "не найдено")</f>
        <v>19</v>
      </c>
      <c r="F419" s="7">
        <f t="array" ref="F419">_xlfn.XLOOKUP($K419,
         'Лист2'!$G$2:$G$505,
         'Лист2'!$D$2:$D$505,
         "не найдено")</f>
        <v>1940</v>
      </c>
      <c r="G419" s="7">
        <f t="array" ref="G419">_xlfn.XLOOKUP($K419,
         'Лист2'!$G$2:$G$505,
         'Лист2'!$D$2:$D$505,
         "не найдено")</f>
        <v>1940</v>
      </c>
      <c r="H419" s="8">
        <f t="shared" si="1"/>
        <v>155214.6316</v>
      </c>
      <c r="I419" s="8">
        <f t="shared" si="2"/>
        <v>20</v>
      </c>
      <c r="K419" s="8" t="str">
        <f t="shared" si="3"/>
        <v>43966|Нижний Новгород</v>
      </c>
    </row>
    <row r="420" ht="14.25" customHeight="1">
      <c r="A420" s="5">
        <v>43980.0</v>
      </c>
      <c r="B420" s="6" t="s">
        <v>21</v>
      </c>
      <c r="C420" s="6">
        <v>35346.0</v>
      </c>
      <c r="D420" s="6">
        <v>3258054.0</v>
      </c>
      <c r="E420" s="7">
        <f t="array" ref="E420">_xlfn.XLOOKUP($K420,
         'Лист2'!$G$2:$G$505,
         'Лист2'!$C$2:$C$505,
         "не найдено")</f>
        <v>20</v>
      </c>
      <c r="F420" s="7">
        <f t="array" ref="F420">_xlfn.XLOOKUP($K420,
         'Лист2'!$G$2:$G$505,
         'Лист2'!$D$2:$D$505,
         "не найдено")</f>
        <v>2249</v>
      </c>
      <c r="G420" s="7">
        <f t="array" ref="G420">_xlfn.XLOOKUP($K420,
         'Лист2'!$G$2:$G$505,
         'Лист2'!$D$2:$D$505,
         "не найдено")</f>
        <v>2249</v>
      </c>
      <c r="H420" s="8">
        <f t="shared" si="1"/>
        <v>162902.7</v>
      </c>
      <c r="I420" s="8">
        <f t="shared" si="2"/>
        <v>22</v>
      </c>
      <c r="K420" s="8" t="str">
        <f t="shared" si="3"/>
        <v>43980|Нижний Новгород</v>
      </c>
    </row>
    <row r="421" ht="14.25" customHeight="1">
      <c r="A421" s="10">
        <v>43978.0</v>
      </c>
      <c r="B421" s="11" t="s">
        <v>18</v>
      </c>
      <c r="C421" s="11">
        <v>286558.5</v>
      </c>
      <c r="D421" s="11">
        <v>2.9256993E7</v>
      </c>
      <c r="E421" s="7">
        <f t="array" ref="E421">_xlfn.XLOOKUP($K421,
         'Лист2'!$G$2:$G$505,
         'Лист2'!$C$2:$C$505,
         "не найдено")</f>
        <v>129</v>
      </c>
      <c r="F421" s="7">
        <f t="array" ref="F421">_xlfn.XLOOKUP($K421,
         'Лист2'!$G$2:$G$505,
         'Лист2'!$D$2:$D$505,
         "не найдено")</f>
        <v>17115</v>
      </c>
      <c r="G421" s="7">
        <f t="array" ref="G421">_xlfn.XLOOKUP($K421,
         'Лист2'!$G$2:$G$505,
         'Лист2'!$D$2:$D$505,
         "не найдено")</f>
        <v>17115</v>
      </c>
      <c r="H421" s="8">
        <f t="shared" si="1"/>
        <v>226798.3953</v>
      </c>
      <c r="I421" s="8">
        <f t="shared" si="2"/>
        <v>22</v>
      </c>
      <c r="K421" s="8" t="str">
        <f t="shared" si="3"/>
        <v>43978|Санкт-Петербург Юг</v>
      </c>
    </row>
    <row r="422" ht="14.25" customHeight="1">
      <c r="A422" s="5">
        <v>43973.0</v>
      </c>
      <c r="B422" s="6" t="s">
        <v>18</v>
      </c>
      <c r="C422" s="6">
        <v>304092.0</v>
      </c>
      <c r="D422" s="6">
        <v>2.9465769E7</v>
      </c>
      <c r="E422" s="7">
        <f t="array" ref="E422">_xlfn.XLOOKUP($K422,
         'Лист2'!$G$2:$G$505,
         'Лист2'!$C$2:$C$505,
         "не найдено")</f>
        <v>129</v>
      </c>
      <c r="F422" s="7">
        <f t="array" ref="F422">_xlfn.XLOOKUP($K422,
         'Лист2'!$G$2:$G$505,
         'Лист2'!$D$2:$D$505,
         "не найдено")</f>
        <v>17088</v>
      </c>
      <c r="G422" s="7">
        <f t="array" ref="G422">_xlfn.XLOOKUP($K422,
         'Лист2'!$G$2:$G$505,
         'Лист2'!$D$2:$D$505,
         "не найдено")</f>
        <v>17088</v>
      </c>
      <c r="H422" s="8">
        <f t="shared" si="1"/>
        <v>228416.814</v>
      </c>
      <c r="I422" s="8">
        <f t="shared" si="2"/>
        <v>21</v>
      </c>
      <c r="K422" s="8" t="str">
        <f t="shared" si="3"/>
        <v>43973|Санкт-Петербург Юг</v>
      </c>
    </row>
    <row r="423" ht="14.25" customHeight="1">
      <c r="A423" s="10">
        <v>43983.0</v>
      </c>
      <c r="B423" s="11" t="s">
        <v>18</v>
      </c>
      <c r="C423" s="11">
        <v>272926.5</v>
      </c>
      <c r="D423" s="11">
        <v>2.77700925E7</v>
      </c>
      <c r="E423" s="7">
        <f t="array" ref="E423">_xlfn.XLOOKUP($K423,
         'Лист2'!$G$2:$G$505,
         'Лист2'!$C$2:$C$505,
         "не найдено")</f>
        <v>128</v>
      </c>
      <c r="F423" s="7">
        <f t="array" ref="F423">_xlfn.XLOOKUP($K423,
         'Лист2'!$G$2:$G$505,
         'Лист2'!$D$2:$D$505,
         "не найдено")</f>
        <v>16285</v>
      </c>
      <c r="G423" s="7">
        <f t="array" ref="G423">_xlfn.XLOOKUP($K423,
         'Лист2'!$G$2:$G$505,
         'Лист2'!$D$2:$D$505,
         "не найдено")</f>
        <v>16285</v>
      </c>
      <c r="H423" s="8">
        <f t="shared" si="1"/>
        <v>216953.8477</v>
      </c>
      <c r="I423" s="8">
        <f t="shared" si="2"/>
        <v>23</v>
      </c>
      <c r="K423" s="8" t="str">
        <f t="shared" si="3"/>
        <v>43983|Санкт-Петербург Юг</v>
      </c>
    </row>
    <row r="424" ht="14.25" customHeight="1">
      <c r="A424" s="5">
        <v>43962.0</v>
      </c>
      <c r="B424" s="6" t="s">
        <v>18</v>
      </c>
      <c r="C424" s="6">
        <v>237099.0</v>
      </c>
      <c r="D424" s="6">
        <v>2.462823322395E7</v>
      </c>
      <c r="E424" s="7">
        <f t="array" ref="E424">_xlfn.XLOOKUP($K424,
         'Лист2'!$G$2:$G$505,
         'Лист2'!$C$2:$C$505,
         "не найдено")</f>
        <v>129</v>
      </c>
      <c r="F424" s="7">
        <f t="array" ref="F424">_xlfn.XLOOKUP($K424,
         'Лист2'!$G$2:$G$505,
         'Лист2'!$D$2:$D$505,
         "не найдено")</f>
        <v>14043</v>
      </c>
      <c r="G424" s="7">
        <f t="array" ref="G424">_xlfn.XLOOKUP($K424,
         'Лист2'!$G$2:$G$505,
         'Лист2'!$D$2:$D$505,
         "не найдено")</f>
        <v>14043</v>
      </c>
      <c r="H424" s="8">
        <f t="shared" si="1"/>
        <v>190916.5366</v>
      </c>
      <c r="I424" s="8">
        <f t="shared" si="2"/>
        <v>20</v>
      </c>
      <c r="K424" s="8" t="str">
        <f t="shared" si="3"/>
        <v>43962|Санкт-Петербург Юг</v>
      </c>
    </row>
    <row r="425" ht="14.25" customHeight="1">
      <c r="A425" s="10">
        <v>43969.0</v>
      </c>
      <c r="B425" s="11" t="s">
        <v>18</v>
      </c>
      <c r="C425" s="11">
        <v>273900.0</v>
      </c>
      <c r="D425" s="11">
        <v>2.7535284147600003E7</v>
      </c>
      <c r="E425" s="7">
        <f t="array" ref="E425">_xlfn.XLOOKUP($K425,
         'Лист2'!$G$2:$G$505,
         'Лист2'!$C$2:$C$505,
         "не найдено")</f>
        <v>129</v>
      </c>
      <c r="F425" s="7">
        <f t="array" ref="F425">_xlfn.XLOOKUP($K425,
         'Лист2'!$G$2:$G$505,
         'Лист2'!$D$2:$D$505,
         "не найдено")</f>
        <v>16110</v>
      </c>
      <c r="G425" s="7">
        <f t="array" ref="G425">_xlfn.XLOOKUP($K425,
         'Лист2'!$G$2:$G$505,
         'Лист2'!$D$2:$D$505,
         "не найдено")</f>
        <v>16110</v>
      </c>
      <c r="H425" s="8">
        <f t="shared" si="1"/>
        <v>213451.8151</v>
      </c>
      <c r="I425" s="8">
        <f t="shared" si="2"/>
        <v>21</v>
      </c>
      <c r="K425" s="8" t="str">
        <f t="shared" si="3"/>
        <v>43969|Санкт-Петербург Юг</v>
      </c>
    </row>
    <row r="426" ht="14.25" customHeight="1">
      <c r="A426" s="5">
        <v>43965.0</v>
      </c>
      <c r="B426" s="6" t="s">
        <v>18</v>
      </c>
      <c r="C426" s="6">
        <v>274059.0</v>
      </c>
      <c r="D426" s="6">
        <v>2.8181292E7</v>
      </c>
      <c r="E426" s="7">
        <f t="array" ref="E426">_xlfn.XLOOKUP($K426,
         'Лист2'!$G$2:$G$505,
         'Лист2'!$C$2:$C$505,
         "не найдено")</f>
        <v>129</v>
      </c>
      <c r="F426" s="7">
        <f t="array" ref="F426">_xlfn.XLOOKUP($K426,
         'Лист2'!$G$2:$G$505,
         'Лист2'!$D$2:$D$505,
         "не найдено")</f>
        <v>15804</v>
      </c>
      <c r="G426" s="7">
        <f t="array" ref="G426">_xlfn.XLOOKUP($K426,
         'Лист2'!$G$2:$G$505,
         'Лист2'!$D$2:$D$505,
         "не найдено")</f>
        <v>15804</v>
      </c>
      <c r="H426" s="8">
        <f t="shared" si="1"/>
        <v>218459.6279</v>
      </c>
      <c r="I426" s="8">
        <f t="shared" si="2"/>
        <v>20</v>
      </c>
      <c r="K426" s="8" t="str">
        <f t="shared" si="3"/>
        <v>43965|Санкт-Петербург Юг</v>
      </c>
    </row>
    <row r="427" ht="14.25" customHeight="1">
      <c r="A427" s="10">
        <v>43966.0</v>
      </c>
      <c r="B427" s="11" t="s">
        <v>18</v>
      </c>
      <c r="C427" s="11">
        <v>318816.0</v>
      </c>
      <c r="D427" s="11">
        <v>3.2354331E7</v>
      </c>
      <c r="E427" s="7">
        <f t="array" ref="E427">_xlfn.XLOOKUP($K427,
         'Лист2'!$G$2:$G$505,
         'Лист2'!$C$2:$C$505,
         "не найдено")</f>
        <v>129</v>
      </c>
      <c r="F427" s="7">
        <f t="array" ref="F427">_xlfn.XLOOKUP($K427,
         'Лист2'!$G$2:$G$505,
         'Лист2'!$D$2:$D$505,
         "не найдено")</f>
        <v>17808</v>
      </c>
      <c r="G427" s="7">
        <f t="array" ref="G427">_xlfn.XLOOKUP($K427,
         'Лист2'!$G$2:$G$505,
         'Лист2'!$D$2:$D$505,
         "не найдено")</f>
        <v>17808</v>
      </c>
      <c r="H427" s="8">
        <f t="shared" si="1"/>
        <v>250808.7674</v>
      </c>
      <c r="I427" s="8">
        <f t="shared" si="2"/>
        <v>20</v>
      </c>
      <c r="K427" s="8" t="str">
        <f t="shared" si="3"/>
        <v>43966|Санкт-Петербург Юг</v>
      </c>
    </row>
    <row r="428" ht="14.25" customHeight="1">
      <c r="A428" s="5">
        <v>43978.0</v>
      </c>
      <c r="B428" s="6" t="s">
        <v>16</v>
      </c>
      <c r="C428" s="6">
        <v>370012.5</v>
      </c>
      <c r="D428" s="6">
        <v>3.90348615E7</v>
      </c>
      <c r="E428" s="7">
        <f t="array" ref="E428">_xlfn.XLOOKUP($K428,
         'Лист2'!$G$2:$G$505,
         'Лист2'!$C$2:$C$505,
         "не найдено")</f>
        <v>124</v>
      </c>
      <c r="F428" s="7">
        <f t="array" ref="F428">_xlfn.XLOOKUP($K428,
         'Лист2'!$G$2:$G$505,
         'Лист2'!$D$2:$D$505,
         "не найдено")</f>
        <v>21384</v>
      </c>
      <c r="G428" s="7">
        <f t="array" ref="G428">_xlfn.XLOOKUP($K428,
         'Лист2'!$G$2:$G$505,
         'Лист2'!$D$2:$D$505,
         "не найдено")</f>
        <v>21384</v>
      </c>
      <c r="H428" s="8">
        <f t="shared" si="1"/>
        <v>314797.2702</v>
      </c>
      <c r="I428" s="8">
        <f t="shared" si="2"/>
        <v>22</v>
      </c>
      <c r="K428" s="8" t="str">
        <f t="shared" si="3"/>
        <v>43978|Санкт-Петербург Север</v>
      </c>
    </row>
    <row r="429" ht="14.25" customHeight="1">
      <c r="A429" s="10">
        <v>43973.0</v>
      </c>
      <c r="B429" s="11" t="s">
        <v>16</v>
      </c>
      <c r="C429" s="11">
        <v>393018.0</v>
      </c>
      <c r="D429" s="11">
        <v>3.94983735E7</v>
      </c>
      <c r="E429" s="7">
        <f t="array" ref="E429">_xlfn.XLOOKUP($K429,
         'Лист2'!$G$2:$G$505,
         'Лист2'!$C$2:$C$505,
         "не найдено")</f>
        <v>125</v>
      </c>
      <c r="F429" s="7">
        <f t="array" ref="F429">_xlfn.XLOOKUP($K429,
         'Лист2'!$G$2:$G$505,
         'Лист2'!$D$2:$D$505,
         "не найдено")</f>
        <v>21427</v>
      </c>
      <c r="G429" s="7">
        <f t="array" ref="G429">_xlfn.XLOOKUP($K429,
         'Лист2'!$G$2:$G$505,
         'Лист2'!$D$2:$D$505,
         "не найдено")</f>
        <v>21427</v>
      </c>
      <c r="H429" s="8">
        <f t="shared" si="1"/>
        <v>315986.988</v>
      </c>
      <c r="I429" s="8">
        <f t="shared" si="2"/>
        <v>21</v>
      </c>
      <c r="K429" s="8" t="str">
        <f t="shared" si="3"/>
        <v>43973|Санкт-Петербург Север</v>
      </c>
    </row>
    <row r="430" ht="14.25" customHeight="1">
      <c r="A430" s="5">
        <v>43983.0</v>
      </c>
      <c r="B430" s="6" t="s">
        <v>16</v>
      </c>
      <c r="C430" s="6">
        <v>349699.5</v>
      </c>
      <c r="D430" s="6">
        <v>3.725784018135E7</v>
      </c>
      <c r="E430" s="7">
        <f t="array" ref="E430">_xlfn.XLOOKUP($K430,
         'Лист2'!$G$2:$G$505,
         'Лист2'!$C$2:$C$505,
         "не найдено")</f>
        <v>123</v>
      </c>
      <c r="F430" s="7">
        <f t="array" ref="F430">_xlfn.XLOOKUP($K430,
         'Лист2'!$G$2:$G$505,
         'Лист2'!$D$2:$D$505,
         "не найдено")</f>
        <v>20325</v>
      </c>
      <c r="G430" s="7">
        <f t="array" ref="G430">_xlfn.XLOOKUP($K430,
         'Лист2'!$G$2:$G$505,
         'Лист2'!$D$2:$D$505,
         "не найдено")</f>
        <v>20325</v>
      </c>
      <c r="H430" s="8">
        <f t="shared" si="1"/>
        <v>302909.2698</v>
      </c>
      <c r="I430" s="8">
        <f t="shared" si="2"/>
        <v>23</v>
      </c>
      <c r="K430" s="8" t="str">
        <f t="shared" si="3"/>
        <v>43983|Санкт-Петербург Север</v>
      </c>
    </row>
    <row r="431" ht="14.25" customHeight="1">
      <c r="A431" s="10">
        <v>43962.0</v>
      </c>
      <c r="B431" s="11" t="s">
        <v>16</v>
      </c>
      <c r="C431" s="11">
        <v>318565.5</v>
      </c>
      <c r="D431" s="11">
        <v>3.3781581E7</v>
      </c>
      <c r="E431" s="7">
        <f t="array" ref="E431">_xlfn.XLOOKUP($K431,
         'Лист2'!$G$2:$G$505,
         'Лист2'!$C$2:$C$505,
         "не найдено")</f>
        <v>125</v>
      </c>
      <c r="F431" s="7">
        <f t="array" ref="F431">_xlfn.XLOOKUP($K431,
         'Лист2'!$G$2:$G$505,
         'Лист2'!$D$2:$D$505,
         "не найдено")</f>
        <v>18066</v>
      </c>
      <c r="G431" s="7">
        <f t="array" ref="G431">_xlfn.XLOOKUP($K431,
         'Лист2'!$G$2:$G$505,
         'Лист2'!$D$2:$D$505,
         "не найдено")</f>
        <v>18066</v>
      </c>
      <c r="H431" s="8">
        <f t="shared" si="1"/>
        <v>270252.648</v>
      </c>
      <c r="I431" s="8">
        <f t="shared" si="2"/>
        <v>20</v>
      </c>
      <c r="K431" s="8" t="str">
        <f t="shared" si="3"/>
        <v>43962|Санкт-Петербург Север</v>
      </c>
    </row>
    <row r="432" ht="14.25" customHeight="1">
      <c r="A432" s="5">
        <v>43980.0</v>
      </c>
      <c r="B432" s="6" t="s">
        <v>18</v>
      </c>
      <c r="C432" s="6">
        <v>422965.5</v>
      </c>
      <c r="D432" s="6">
        <v>4.1767140105000004E7</v>
      </c>
      <c r="E432" s="7">
        <f t="array" ref="E432">_xlfn.XLOOKUP($K432,
         'Лист2'!$G$2:$G$505,
         'Лист2'!$C$2:$C$505,
         "не найдено")</f>
        <v>129</v>
      </c>
      <c r="F432" s="7">
        <f t="array" ref="F432">_xlfn.XLOOKUP($K432,
         'Лист2'!$G$2:$G$505,
         'Лист2'!$D$2:$D$505,
         "не найдено")</f>
        <v>22403</v>
      </c>
      <c r="G432" s="7">
        <f t="array" ref="G432">_xlfn.XLOOKUP($K432,
         'Лист2'!$G$2:$G$505,
         'Лист2'!$D$2:$D$505,
         "не найдено")</f>
        <v>22403</v>
      </c>
      <c r="H432" s="8">
        <f t="shared" si="1"/>
        <v>323776.2799</v>
      </c>
      <c r="I432" s="8">
        <f t="shared" si="2"/>
        <v>22</v>
      </c>
      <c r="K432" s="8" t="str">
        <f t="shared" si="3"/>
        <v>43980|Санкт-Петербург Юг</v>
      </c>
    </row>
    <row r="433" ht="14.25" customHeight="1">
      <c r="A433" s="10">
        <v>43969.0</v>
      </c>
      <c r="B433" s="11" t="s">
        <v>16</v>
      </c>
      <c r="C433" s="11">
        <v>355081.5</v>
      </c>
      <c r="D433" s="11">
        <v>3.6876888E7</v>
      </c>
      <c r="E433" s="7">
        <f t="array" ref="E433">_xlfn.XLOOKUP($K433,
         'Лист2'!$G$2:$G$505,
         'Лист2'!$C$2:$C$505,
         "не найдено")</f>
        <v>125</v>
      </c>
      <c r="F433" s="7">
        <f t="array" ref="F433">_xlfn.XLOOKUP($K433,
         'Лист2'!$G$2:$G$505,
         'Лист2'!$D$2:$D$505,
         "не найдено")</f>
        <v>20449</v>
      </c>
      <c r="G433" s="7">
        <f t="array" ref="G433">_xlfn.XLOOKUP($K433,
         'Лист2'!$G$2:$G$505,
         'Лист2'!$D$2:$D$505,
         "не найдено")</f>
        <v>20449</v>
      </c>
      <c r="H433" s="8">
        <f t="shared" si="1"/>
        <v>295015.104</v>
      </c>
      <c r="I433" s="8">
        <f t="shared" si="2"/>
        <v>21</v>
      </c>
      <c r="K433" s="8" t="str">
        <f t="shared" si="3"/>
        <v>43969|Санкт-Петербург Север</v>
      </c>
    </row>
    <row r="434" ht="14.25" customHeight="1">
      <c r="A434" s="5">
        <v>43965.0</v>
      </c>
      <c r="B434" s="6" t="s">
        <v>16</v>
      </c>
      <c r="C434" s="6">
        <v>358387.5</v>
      </c>
      <c r="D434" s="6">
        <v>3.79631505E7</v>
      </c>
      <c r="E434" s="7">
        <f t="array" ref="E434">_xlfn.XLOOKUP($K434,
         'Лист2'!$G$2:$G$505,
         'Лист2'!$C$2:$C$505,
         "не найдено")</f>
        <v>125</v>
      </c>
      <c r="F434" s="7">
        <f t="array" ref="F434">_xlfn.XLOOKUP($K434,
         'Лист2'!$G$2:$G$505,
         'Лист2'!$D$2:$D$505,
         "не найдено")</f>
        <v>20247</v>
      </c>
      <c r="G434" s="7">
        <f t="array" ref="G434">_xlfn.XLOOKUP($K434,
         'Лист2'!$G$2:$G$505,
         'Лист2'!$D$2:$D$505,
         "не найдено")</f>
        <v>20247</v>
      </c>
      <c r="H434" s="8">
        <f t="shared" si="1"/>
        <v>303705.204</v>
      </c>
      <c r="I434" s="8">
        <f t="shared" si="2"/>
        <v>20</v>
      </c>
      <c r="K434" s="8" t="str">
        <f t="shared" si="3"/>
        <v>43965|Санкт-Петербург Север</v>
      </c>
    </row>
    <row r="435" ht="14.25" customHeight="1">
      <c r="A435" s="10">
        <v>43966.0</v>
      </c>
      <c r="B435" s="11" t="s">
        <v>16</v>
      </c>
      <c r="C435" s="11">
        <v>403261.5</v>
      </c>
      <c r="D435" s="11">
        <v>4.2271377E7</v>
      </c>
      <c r="E435" s="7">
        <f t="array" ref="E435">_xlfn.XLOOKUP($K435,
         'Лист2'!$G$2:$G$505,
         'Лист2'!$C$2:$C$505,
         "не найдено")</f>
        <v>125</v>
      </c>
      <c r="F435" s="7">
        <f t="array" ref="F435">_xlfn.XLOOKUP($K435,
         'Лист2'!$G$2:$G$505,
         'Лист2'!$D$2:$D$505,
         "не найдено")</f>
        <v>21862</v>
      </c>
      <c r="G435" s="7">
        <f t="array" ref="G435">_xlfn.XLOOKUP($K435,
         'Лист2'!$G$2:$G$505,
         'Лист2'!$D$2:$D$505,
         "не найдено")</f>
        <v>21862</v>
      </c>
      <c r="H435" s="8">
        <f t="shared" si="1"/>
        <v>338171.016</v>
      </c>
      <c r="I435" s="8">
        <f t="shared" si="2"/>
        <v>20</v>
      </c>
      <c r="K435" s="8" t="str">
        <f t="shared" si="3"/>
        <v>43966|Санкт-Петербург Север</v>
      </c>
    </row>
    <row r="436" ht="14.25" customHeight="1">
      <c r="A436" s="5">
        <v>43978.0</v>
      </c>
      <c r="B436" s="6" t="s">
        <v>20</v>
      </c>
      <c r="C436" s="6">
        <v>69010.5</v>
      </c>
      <c r="D436" s="6">
        <v>5985894.0</v>
      </c>
      <c r="E436" s="7">
        <f t="array" ref="E436">_xlfn.XLOOKUP($K436,
         'Лист2'!$G$2:$G$505,
         'Лист2'!$C$2:$C$505,
         "не найдено")</f>
        <v>36</v>
      </c>
      <c r="F436" s="7">
        <f t="array" ref="F436">_xlfn.XLOOKUP($K436,
         'Лист2'!$G$2:$G$505,
         'Лист2'!$D$2:$D$505,
         "не найдено")</f>
        <v>4951</v>
      </c>
      <c r="G436" s="7">
        <f t="array" ref="G436">_xlfn.XLOOKUP($K436,
         'Лист2'!$G$2:$G$505,
         'Лист2'!$D$2:$D$505,
         "не найдено")</f>
        <v>4951</v>
      </c>
      <c r="H436" s="8">
        <f t="shared" si="1"/>
        <v>166274.8333</v>
      </c>
      <c r="I436" s="8">
        <f t="shared" si="2"/>
        <v>22</v>
      </c>
      <c r="K436" s="8" t="str">
        <f t="shared" si="3"/>
        <v>43978|Волгоград</v>
      </c>
    </row>
    <row r="437" ht="14.25" customHeight="1">
      <c r="A437" s="10">
        <v>43973.0</v>
      </c>
      <c r="B437" s="11" t="s">
        <v>20</v>
      </c>
      <c r="C437" s="11">
        <v>75820.5</v>
      </c>
      <c r="D437" s="11">
        <v>5943489.0</v>
      </c>
      <c r="E437" s="7">
        <f t="array" ref="E437">_xlfn.XLOOKUP($K437,
         'Лист2'!$G$2:$G$505,
         'Лист2'!$C$2:$C$505,
         "не найдено")</f>
        <v>36</v>
      </c>
      <c r="F437" s="7">
        <f t="array" ref="F437">_xlfn.XLOOKUP($K437,
         'Лист2'!$G$2:$G$505,
         'Лист2'!$D$2:$D$505,
         "не найдено")</f>
        <v>4857</v>
      </c>
      <c r="G437" s="7">
        <f t="array" ref="G437">_xlfn.XLOOKUP($K437,
         'Лист2'!$G$2:$G$505,
         'Лист2'!$D$2:$D$505,
         "не найдено")</f>
        <v>4857</v>
      </c>
      <c r="H437" s="8">
        <f t="shared" si="1"/>
        <v>165096.9167</v>
      </c>
      <c r="I437" s="8">
        <f t="shared" si="2"/>
        <v>21</v>
      </c>
      <c r="K437" s="8" t="str">
        <f t="shared" si="3"/>
        <v>43973|Волгоград</v>
      </c>
    </row>
    <row r="438" ht="14.25" customHeight="1">
      <c r="A438" s="5">
        <v>43983.0</v>
      </c>
      <c r="B438" s="6" t="s">
        <v>20</v>
      </c>
      <c r="C438" s="6">
        <v>64740.0</v>
      </c>
      <c r="D438" s="6">
        <v>5800290.0</v>
      </c>
      <c r="E438" s="7">
        <f t="array" ref="E438">_xlfn.XLOOKUP($K438,
         'Лист2'!$G$2:$G$505,
         'Лист2'!$C$2:$C$505,
         "не найдено")</f>
        <v>37</v>
      </c>
      <c r="F438" s="7">
        <f t="array" ref="F438">_xlfn.XLOOKUP($K438,
         'Лист2'!$G$2:$G$505,
         'Лист2'!$D$2:$D$505,
         "не найдено")</f>
        <v>4722</v>
      </c>
      <c r="G438" s="7">
        <f t="array" ref="G438">_xlfn.XLOOKUP($K438,
         'Лист2'!$G$2:$G$505,
         'Лист2'!$D$2:$D$505,
         "не найдено")</f>
        <v>4722</v>
      </c>
      <c r="H438" s="8">
        <f t="shared" si="1"/>
        <v>156764.5946</v>
      </c>
      <c r="I438" s="8">
        <f t="shared" si="2"/>
        <v>23</v>
      </c>
      <c r="K438" s="8" t="str">
        <f t="shared" si="3"/>
        <v>43983|Волгоград</v>
      </c>
    </row>
    <row r="439" ht="14.25" customHeight="1">
      <c r="A439" s="10">
        <v>43962.0</v>
      </c>
      <c r="B439" s="11" t="s">
        <v>20</v>
      </c>
      <c r="C439" s="11">
        <v>59574.0</v>
      </c>
      <c r="D439" s="11">
        <v>5178169.5</v>
      </c>
      <c r="E439" s="7">
        <f t="array" ref="E439">_xlfn.XLOOKUP($K439,
         'Лист2'!$G$2:$G$505,
         'Лист2'!$C$2:$C$505,
         "не найдено")</f>
        <v>36</v>
      </c>
      <c r="F439" s="7">
        <f t="array" ref="F439">_xlfn.XLOOKUP($K439,
         'Лист2'!$G$2:$G$505,
         'Лист2'!$D$2:$D$505,
         "не найдено")</f>
        <v>4150</v>
      </c>
      <c r="G439" s="7">
        <f t="array" ref="G439">_xlfn.XLOOKUP($K439,
         'Лист2'!$G$2:$G$505,
         'Лист2'!$D$2:$D$505,
         "не найдено")</f>
        <v>4150</v>
      </c>
      <c r="H439" s="8">
        <f t="shared" si="1"/>
        <v>143838.0417</v>
      </c>
      <c r="I439" s="8">
        <f t="shared" si="2"/>
        <v>20</v>
      </c>
      <c r="K439" s="8" t="str">
        <f t="shared" si="3"/>
        <v>43962|Волгоград</v>
      </c>
    </row>
    <row r="440" ht="14.25" customHeight="1">
      <c r="A440" s="5">
        <v>43980.0</v>
      </c>
      <c r="B440" s="6" t="s">
        <v>16</v>
      </c>
      <c r="C440" s="6">
        <v>524481.0</v>
      </c>
      <c r="D440" s="6">
        <v>5.4172029E7</v>
      </c>
      <c r="E440" s="7">
        <f t="array" ref="E440">_xlfn.XLOOKUP($K440,
         'Лист2'!$G$2:$G$505,
         'Лист2'!$C$2:$C$505,
         "не найдено")</f>
        <v>124</v>
      </c>
      <c r="F440" s="7">
        <f t="array" ref="F440">_xlfn.XLOOKUP($K440,
         'Лист2'!$G$2:$G$505,
         'Лист2'!$D$2:$D$505,
         "не найдено")</f>
        <v>25828</v>
      </c>
      <c r="G440" s="7">
        <f t="array" ref="G440">_xlfn.XLOOKUP($K440,
         'Лист2'!$G$2:$G$505,
         'Лист2'!$D$2:$D$505,
         "не найдено")</f>
        <v>25828</v>
      </c>
      <c r="H440" s="8">
        <f t="shared" si="1"/>
        <v>436871.2016</v>
      </c>
      <c r="I440" s="8">
        <f t="shared" si="2"/>
        <v>22</v>
      </c>
      <c r="K440" s="8" t="str">
        <f t="shared" si="3"/>
        <v>43980|Санкт-Петербург Север</v>
      </c>
    </row>
    <row r="441" ht="14.25" customHeight="1">
      <c r="A441" s="10">
        <v>43969.0</v>
      </c>
      <c r="B441" s="11" t="s">
        <v>20</v>
      </c>
      <c r="C441" s="11">
        <v>70278.0</v>
      </c>
      <c r="D441" s="11">
        <v>5798476.5</v>
      </c>
      <c r="E441" s="7">
        <f t="array" ref="E441">_xlfn.XLOOKUP($K441,
         'Лист2'!$G$2:$G$505,
         'Лист2'!$C$2:$C$505,
         "не найдено")</f>
        <v>36</v>
      </c>
      <c r="F441" s="7">
        <f t="array" ref="F441">_xlfn.XLOOKUP($K441,
         'Лист2'!$G$2:$G$505,
         'Лист2'!$D$2:$D$505,
         "не найдено")</f>
        <v>4885</v>
      </c>
      <c r="G441" s="7">
        <f t="array" ref="G441">_xlfn.XLOOKUP($K441,
         'Лист2'!$G$2:$G$505,
         'Лист2'!$D$2:$D$505,
         "не найдено")</f>
        <v>4885</v>
      </c>
      <c r="H441" s="8">
        <f t="shared" si="1"/>
        <v>161068.7917</v>
      </c>
      <c r="I441" s="8">
        <f t="shared" si="2"/>
        <v>21</v>
      </c>
      <c r="K441" s="8" t="str">
        <f t="shared" si="3"/>
        <v>43969|Волгоград</v>
      </c>
    </row>
    <row r="442" ht="14.25" customHeight="1">
      <c r="A442" s="5">
        <v>43965.0</v>
      </c>
      <c r="B442" s="6" t="s">
        <v>20</v>
      </c>
      <c r="C442" s="6">
        <v>63645.0</v>
      </c>
      <c r="D442" s="6">
        <v>5366602.5</v>
      </c>
      <c r="E442" s="7">
        <f t="array" ref="E442">_xlfn.XLOOKUP($K442,
         'Лист2'!$G$2:$G$505,
         'Лист2'!$C$2:$C$505,
         "не найдено")</f>
        <v>36</v>
      </c>
      <c r="F442" s="7">
        <f t="array" ref="F442">_xlfn.XLOOKUP($K442,
         'Лист2'!$G$2:$G$505,
         'Лист2'!$D$2:$D$505,
         "не найдено")</f>
        <v>4285</v>
      </c>
      <c r="G442" s="7">
        <f t="array" ref="G442">_xlfn.XLOOKUP($K442,
         'Лист2'!$G$2:$G$505,
         'Лист2'!$D$2:$D$505,
         "не найдено")</f>
        <v>4285</v>
      </c>
      <c r="H442" s="8">
        <f t="shared" si="1"/>
        <v>149072.2917</v>
      </c>
      <c r="I442" s="8">
        <f t="shared" si="2"/>
        <v>20</v>
      </c>
      <c r="K442" s="8" t="str">
        <f t="shared" si="3"/>
        <v>43965|Волгоград</v>
      </c>
    </row>
    <row r="443" ht="14.25" customHeight="1">
      <c r="A443" s="10">
        <v>43966.0</v>
      </c>
      <c r="B443" s="11" t="s">
        <v>20</v>
      </c>
      <c r="C443" s="11">
        <v>75642.0</v>
      </c>
      <c r="D443" s="11">
        <v>6293952.0</v>
      </c>
      <c r="E443" s="7">
        <f t="array" ref="E443">_xlfn.XLOOKUP($K443,
         'Лист2'!$G$2:$G$505,
         'Лист2'!$C$2:$C$505,
         "не найдено")</f>
        <v>36</v>
      </c>
      <c r="F443" s="7">
        <f t="array" ref="F443">_xlfn.XLOOKUP($K443,
         'Лист2'!$G$2:$G$505,
         'Лист2'!$D$2:$D$505,
         "не найдено")</f>
        <v>4862</v>
      </c>
      <c r="G443" s="7">
        <f t="array" ref="G443">_xlfn.XLOOKUP($K443,
         'Лист2'!$G$2:$G$505,
         'Лист2'!$D$2:$D$505,
         "не найдено")</f>
        <v>4862</v>
      </c>
      <c r="H443" s="8">
        <f t="shared" si="1"/>
        <v>174832</v>
      </c>
      <c r="I443" s="8">
        <f t="shared" si="2"/>
        <v>20</v>
      </c>
      <c r="K443" s="8" t="str">
        <f t="shared" si="3"/>
        <v>43966|Волгоград</v>
      </c>
    </row>
    <row r="444" ht="14.25" customHeight="1">
      <c r="A444" s="5">
        <v>43978.0</v>
      </c>
      <c r="B444" s="6" t="s">
        <v>19</v>
      </c>
      <c r="C444" s="6">
        <v>40420.5</v>
      </c>
      <c r="D444" s="6">
        <v>3780852.0</v>
      </c>
      <c r="E444" s="7">
        <f t="array" ref="E444">_xlfn.XLOOKUP($K444,
         'Лист2'!$G$2:$G$505,
         'Лист2'!$C$2:$C$505,
         "не найдено")</f>
        <v>21</v>
      </c>
      <c r="F444" s="7">
        <f t="array" ref="F444">_xlfn.XLOOKUP($K444,
         'Лист2'!$G$2:$G$505,
         'Лист2'!$D$2:$D$505,
         "не найдено")</f>
        <v>2430</v>
      </c>
      <c r="G444" s="7">
        <f t="array" ref="G444">_xlfn.XLOOKUP($K444,
         'Лист2'!$G$2:$G$505,
         'Лист2'!$D$2:$D$505,
         "не найдено")</f>
        <v>2430</v>
      </c>
      <c r="H444" s="8">
        <f t="shared" si="1"/>
        <v>180040.5714</v>
      </c>
      <c r="I444" s="8">
        <f t="shared" si="2"/>
        <v>22</v>
      </c>
      <c r="K444" s="8" t="str">
        <f t="shared" si="3"/>
        <v>43978|Казань</v>
      </c>
    </row>
    <row r="445" ht="14.25" customHeight="1">
      <c r="A445" s="10">
        <v>43973.0</v>
      </c>
      <c r="B445" s="11" t="s">
        <v>19</v>
      </c>
      <c r="C445" s="11">
        <v>53838.0</v>
      </c>
      <c r="D445" s="11">
        <v>4840833.0</v>
      </c>
      <c r="E445" s="7">
        <f t="array" ref="E445">_xlfn.XLOOKUP($K445,
         'Лист2'!$G$2:$G$505,
         'Лист2'!$C$2:$C$505,
         "не найдено")</f>
        <v>21</v>
      </c>
      <c r="F445" s="7">
        <f t="array" ref="F445">_xlfn.XLOOKUP($K445,
         'Лист2'!$G$2:$G$505,
         'Лист2'!$D$2:$D$505,
         "не найдено")</f>
        <v>2861</v>
      </c>
      <c r="G445" s="7">
        <f t="array" ref="G445">_xlfn.XLOOKUP($K445,
         'Лист2'!$G$2:$G$505,
         'Лист2'!$D$2:$D$505,
         "не найдено")</f>
        <v>2861</v>
      </c>
      <c r="H445" s="8">
        <f t="shared" si="1"/>
        <v>230515.8571</v>
      </c>
      <c r="I445" s="8">
        <f t="shared" si="2"/>
        <v>21</v>
      </c>
      <c r="K445" s="8" t="str">
        <f t="shared" si="3"/>
        <v>43973|Казань</v>
      </c>
    </row>
    <row r="446" ht="14.25" customHeight="1">
      <c r="A446" s="5">
        <v>43983.0</v>
      </c>
      <c r="B446" s="6" t="s">
        <v>19</v>
      </c>
      <c r="C446" s="6">
        <v>40528.5</v>
      </c>
      <c r="D446" s="6">
        <v>3865251.0</v>
      </c>
      <c r="E446" s="7">
        <f t="array" ref="E446">_xlfn.XLOOKUP($K446,
         'Лист2'!$G$2:$G$505,
         'Лист2'!$C$2:$C$505,
         "не найдено")</f>
        <v>23</v>
      </c>
      <c r="F446" s="7">
        <f t="array" ref="F446">_xlfn.XLOOKUP($K446,
         'Лист2'!$G$2:$G$505,
         'Лист2'!$D$2:$D$505,
         "не найдено")</f>
        <v>2531</v>
      </c>
      <c r="G446" s="7">
        <f t="array" ref="G446">_xlfn.XLOOKUP($K446,
         'Лист2'!$G$2:$G$505,
         'Лист2'!$D$2:$D$505,
         "не найдено")</f>
        <v>2531</v>
      </c>
      <c r="H446" s="8">
        <f t="shared" si="1"/>
        <v>168054.3913</v>
      </c>
      <c r="I446" s="8">
        <f t="shared" si="2"/>
        <v>23</v>
      </c>
      <c r="K446" s="8" t="str">
        <f t="shared" si="3"/>
        <v>43983|Казань</v>
      </c>
    </row>
    <row r="447" ht="14.25" customHeight="1">
      <c r="A447" s="10">
        <v>43962.0</v>
      </c>
      <c r="B447" s="11" t="s">
        <v>19</v>
      </c>
      <c r="C447" s="11">
        <v>32733.0</v>
      </c>
      <c r="D447" s="11">
        <v>3079630.5</v>
      </c>
      <c r="E447" s="7">
        <f t="array" ref="E447">_xlfn.XLOOKUP($K447,
         'Лист2'!$G$2:$G$505,
         'Лист2'!$C$2:$C$505,
         "не найдено")</f>
        <v>21</v>
      </c>
      <c r="F447" s="7">
        <f t="array" ref="F447">_xlfn.XLOOKUP($K447,
         'Лист2'!$G$2:$G$505,
         'Лист2'!$D$2:$D$505,
         "не найдено")</f>
        <v>1916</v>
      </c>
      <c r="G447" s="7">
        <f t="array" ref="G447">_xlfn.XLOOKUP($K447,
         'Лист2'!$G$2:$G$505,
         'Лист2'!$D$2:$D$505,
         "не найдено")</f>
        <v>1916</v>
      </c>
      <c r="H447" s="8">
        <f t="shared" si="1"/>
        <v>146649.0714</v>
      </c>
      <c r="I447" s="8">
        <f t="shared" si="2"/>
        <v>20</v>
      </c>
      <c r="K447" s="8" t="str">
        <f t="shared" si="3"/>
        <v>43962|Казань</v>
      </c>
    </row>
    <row r="448" ht="14.25" customHeight="1">
      <c r="A448" s="5">
        <v>43980.0</v>
      </c>
      <c r="B448" s="6" t="s">
        <v>20</v>
      </c>
      <c r="C448" s="6">
        <v>84433.5</v>
      </c>
      <c r="D448" s="6">
        <v>7228395.0</v>
      </c>
      <c r="E448" s="7">
        <f t="array" ref="E448">_xlfn.XLOOKUP($K448,
         'Лист2'!$G$2:$G$505,
         'Лист2'!$C$2:$C$505,
         "не найдено")</f>
        <v>37</v>
      </c>
      <c r="F448" s="7">
        <f t="array" ref="F448">_xlfn.XLOOKUP($K448,
         'Лист2'!$G$2:$G$505,
         'Лист2'!$D$2:$D$505,
         "не найдено")</f>
        <v>5672</v>
      </c>
      <c r="G448" s="7">
        <f t="array" ref="G448">_xlfn.XLOOKUP($K448,
         'Лист2'!$G$2:$G$505,
         'Лист2'!$D$2:$D$505,
         "не найдено")</f>
        <v>5672</v>
      </c>
      <c r="H448" s="8">
        <f t="shared" si="1"/>
        <v>195362.027</v>
      </c>
      <c r="I448" s="8">
        <f t="shared" si="2"/>
        <v>22</v>
      </c>
      <c r="K448" s="8" t="str">
        <f t="shared" si="3"/>
        <v>43980|Волгоград</v>
      </c>
    </row>
    <row r="449" ht="14.25" customHeight="1">
      <c r="A449" s="10">
        <v>43969.0</v>
      </c>
      <c r="B449" s="11" t="s">
        <v>19</v>
      </c>
      <c r="C449" s="11">
        <v>36655.5</v>
      </c>
      <c r="D449" s="11">
        <v>3360135.0</v>
      </c>
      <c r="E449" s="7">
        <f t="array" ref="E449">_xlfn.XLOOKUP($K449,
         'Лист2'!$G$2:$G$505,
         'Лист2'!$C$2:$C$505,
         "не найдено")</f>
        <v>21</v>
      </c>
      <c r="F449" s="7">
        <f t="array" ref="F449">_xlfn.XLOOKUP($K449,
         'Лист2'!$G$2:$G$505,
         'Лист2'!$D$2:$D$505,
         "не найдено")</f>
        <v>2136</v>
      </c>
      <c r="G449" s="7">
        <f t="array" ref="G449">_xlfn.XLOOKUP($K449,
         'Лист2'!$G$2:$G$505,
         'Лист2'!$D$2:$D$505,
         "не найдено")</f>
        <v>2136</v>
      </c>
      <c r="H449" s="8">
        <f t="shared" si="1"/>
        <v>160006.4286</v>
      </c>
      <c r="I449" s="8">
        <f t="shared" si="2"/>
        <v>21</v>
      </c>
      <c r="K449" s="8" t="str">
        <f t="shared" si="3"/>
        <v>43969|Казань</v>
      </c>
    </row>
    <row r="450" ht="14.25" customHeight="1">
      <c r="A450" s="5">
        <v>43965.0</v>
      </c>
      <c r="B450" s="6" t="s">
        <v>19</v>
      </c>
      <c r="C450" s="6">
        <v>33886.5</v>
      </c>
      <c r="D450" s="6">
        <v>3166479.0</v>
      </c>
      <c r="E450" s="7">
        <f t="array" ref="E450">_xlfn.XLOOKUP($K450,
         'Лист2'!$G$2:$G$505,
         'Лист2'!$C$2:$C$505,
         "не найдено")</f>
        <v>21</v>
      </c>
      <c r="F450" s="7">
        <f t="array" ref="F450">_xlfn.XLOOKUP($K450,
         'Лист2'!$G$2:$G$505,
         'Лист2'!$D$2:$D$505,
         "не найдено")</f>
        <v>1993</v>
      </c>
      <c r="G450" s="7">
        <f t="array" ref="G450">_xlfn.XLOOKUP($K450,
         'Лист2'!$G$2:$G$505,
         'Лист2'!$D$2:$D$505,
         "не найдено")</f>
        <v>1993</v>
      </c>
      <c r="H450" s="8">
        <f t="shared" si="1"/>
        <v>150784.7143</v>
      </c>
      <c r="I450" s="8">
        <f t="shared" si="2"/>
        <v>20</v>
      </c>
      <c r="K450" s="8" t="str">
        <f t="shared" si="3"/>
        <v>43965|Казань</v>
      </c>
    </row>
    <row r="451" ht="14.25" customHeight="1">
      <c r="A451" s="10">
        <v>43966.0</v>
      </c>
      <c r="B451" s="11" t="s">
        <v>19</v>
      </c>
      <c r="C451" s="11">
        <v>41697.0</v>
      </c>
      <c r="D451" s="11">
        <v>3772258.5</v>
      </c>
      <c r="E451" s="7">
        <f t="array" ref="E451">_xlfn.XLOOKUP($K451,
         'Лист2'!$G$2:$G$505,
         'Лист2'!$C$2:$C$505,
         "не найдено")</f>
        <v>21</v>
      </c>
      <c r="F451" s="7">
        <f t="array" ref="F451">_xlfn.XLOOKUP($K451,
         'Лист2'!$G$2:$G$505,
         'Лист2'!$D$2:$D$505,
         "не найдено")</f>
        <v>2255</v>
      </c>
      <c r="G451" s="7">
        <f t="array" ref="G451">_xlfn.XLOOKUP($K451,
         'Лист2'!$G$2:$G$505,
         'Лист2'!$D$2:$D$505,
         "не найдено")</f>
        <v>2255</v>
      </c>
      <c r="H451" s="8">
        <f t="shared" si="1"/>
        <v>179631.3571</v>
      </c>
      <c r="I451" s="8">
        <f t="shared" si="2"/>
        <v>20</v>
      </c>
      <c r="K451" s="8" t="str">
        <f t="shared" si="3"/>
        <v>43966|Казань</v>
      </c>
    </row>
    <row r="452" ht="14.25" customHeight="1">
      <c r="A452" s="5">
        <v>43980.0</v>
      </c>
      <c r="B452" s="6" t="s">
        <v>19</v>
      </c>
      <c r="C452" s="6">
        <v>44569.5</v>
      </c>
      <c r="D452" s="6">
        <v>4108596.0</v>
      </c>
      <c r="E452" s="7">
        <f t="array" ref="E452">_xlfn.XLOOKUP($K452,
         'Лист2'!$G$2:$G$505,
         'Лист2'!$C$2:$C$505,
         "не найдено")</f>
        <v>22</v>
      </c>
      <c r="F452" s="7">
        <f t="array" ref="F452">_xlfn.XLOOKUP($K452,
         'Лист2'!$G$2:$G$505,
         'Лист2'!$D$2:$D$505,
         "не найдено")</f>
        <v>2597</v>
      </c>
      <c r="G452" s="7">
        <f t="array" ref="G452">_xlfn.XLOOKUP($K452,
         'Лист2'!$G$2:$G$505,
         'Лист2'!$D$2:$D$505,
         "не найдено")</f>
        <v>2597</v>
      </c>
      <c r="H452" s="8">
        <f t="shared" si="1"/>
        <v>186754.3636</v>
      </c>
      <c r="I452" s="8">
        <f t="shared" si="2"/>
        <v>22</v>
      </c>
      <c r="K452" s="8" t="str">
        <f t="shared" si="3"/>
        <v>43980|Казань</v>
      </c>
    </row>
    <row r="453" ht="14.25" customHeight="1">
      <c r="A453" s="10">
        <v>43978.0</v>
      </c>
      <c r="B453" s="11" t="s">
        <v>26</v>
      </c>
      <c r="C453" s="11">
        <v>18069.0</v>
      </c>
      <c r="D453" s="11">
        <v>1603084.5</v>
      </c>
      <c r="E453" s="7">
        <f t="array" ref="E453">_xlfn.XLOOKUP($K453,
         'Лист2'!$G$2:$G$505,
         'Лист2'!$C$2:$C$505,
         "не найдено")</f>
        <v>17</v>
      </c>
      <c r="F453" s="7">
        <f t="array" ref="F453">_xlfn.XLOOKUP($K453,
         'Лист2'!$G$2:$G$505,
         'Лист2'!$D$2:$D$505,
         "не найдено")</f>
        <v>1203</v>
      </c>
      <c r="G453" s="7">
        <f t="array" ref="G453">_xlfn.XLOOKUP($K453,
         'Лист2'!$G$2:$G$505,
         'Лист2'!$D$2:$D$505,
         "не найдено")</f>
        <v>1203</v>
      </c>
      <c r="H453" s="8">
        <f t="shared" si="1"/>
        <v>94299.08824</v>
      </c>
      <c r="I453" s="8">
        <f t="shared" si="2"/>
        <v>22</v>
      </c>
      <c r="K453" s="8" t="str">
        <f t="shared" si="3"/>
        <v>43978|Пермь</v>
      </c>
    </row>
    <row r="454" ht="14.25" customHeight="1">
      <c r="A454" s="5">
        <v>43973.0</v>
      </c>
      <c r="B454" s="6" t="s">
        <v>26</v>
      </c>
      <c r="C454" s="6">
        <v>21483.0</v>
      </c>
      <c r="D454" s="6">
        <v>1774329.0</v>
      </c>
      <c r="E454" s="7">
        <f t="array" ref="E454">_xlfn.XLOOKUP($K454,
         'Лист2'!$G$2:$G$505,
         'Лист2'!$C$2:$C$505,
         "не найдено")</f>
        <v>17</v>
      </c>
      <c r="F454" s="7">
        <f t="array" ref="F454">_xlfn.XLOOKUP($K454,
         'Лист2'!$G$2:$G$505,
         'Лист2'!$D$2:$D$505,
         "не найдено")</f>
        <v>1268</v>
      </c>
      <c r="G454" s="7">
        <f t="array" ref="G454">_xlfn.XLOOKUP($K454,
         'Лист2'!$G$2:$G$505,
         'Лист2'!$D$2:$D$505,
         "не найдено")</f>
        <v>1268</v>
      </c>
      <c r="H454" s="8">
        <f t="shared" si="1"/>
        <v>104372.2941</v>
      </c>
      <c r="I454" s="8">
        <f t="shared" si="2"/>
        <v>21</v>
      </c>
      <c r="K454" s="8" t="str">
        <f t="shared" si="3"/>
        <v>43973|Пермь</v>
      </c>
    </row>
    <row r="455" ht="14.25" customHeight="1">
      <c r="A455" s="10">
        <v>43983.0</v>
      </c>
      <c r="B455" s="11" t="s">
        <v>26</v>
      </c>
      <c r="C455" s="11">
        <v>16687.5</v>
      </c>
      <c r="D455" s="11">
        <v>1526608.5</v>
      </c>
      <c r="E455" s="7">
        <f t="array" ref="E455">_xlfn.XLOOKUP($K455,
         'Лист2'!$G$2:$G$505,
         'Лист2'!$C$2:$C$505,
         "не найдено")</f>
        <v>17</v>
      </c>
      <c r="F455" s="7">
        <f t="array" ref="F455">_xlfn.XLOOKUP($K455,
         'Лист2'!$G$2:$G$505,
         'Лист2'!$D$2:$D$505,
         "не найдено")</f>
        <v>1185</v>
      </c>
      <c r="G455" s="7">
        <f t="array" ref="G455">_xlfn.XLOOKUP($K455,
         'Лист2'!$G$2:$G$505,
         'Лист2'!$D$2:$D$505,
         "не найдено")</f>
        <v>1185</v>
      </c>
      <c r="H455" s="8">
        <f t="shared" si="1"/>
        <v>89800.5</v>
      </c>
      <c r="I455" s="8">
        <f t="shared" si="2"/>
        <v>23</v>
      </c>
      <c r="K455" s="8" t="str">
        <f t="shared" si="3"/>
        <v>43983|Пермь</v>
      </c>
    </row>
    <row r="456" ht="14.25" customHeight="1">
      <c r="A456" s="5">
        <v>43962.0</v>
      </c>
      <c r="B456" s="6" t="s">
        <v>26</v>
      </c>
      <c r="C456" s="6">
        <v>12238.5</v>
      </c>
      <c r="D456" s="6">
        <v>1096002.0</v>
      </c>
      <c r="E456" s="7">
        <f t="array" ref="E456">_xlfn.XLOOKUP($K456,
         'Лист2'!$G$2:$G$505,
         'Лист2'!$C$2:$C$505,
         "не найдено")</f>
        <v>15</v>
      </c>
      <c r="F456" s="7">
        <f t="array" ref="F456">_xlfn.XLOOKUP($K456,
         'Лист2'!$G$2:$G$505,
         'Лист2'!$D$2:$D$505,
         "не найдено")</f>
        <v>812</v>
      </c>
      <c r="G456" s="7">
        <f t="array" ref="G456">_xlfn.XLOOKUP($K456,
         'Лист2'!$G$2:$G$505,
         'Лист2'!$D$2:$D$505,
         "не найдено")</f>
        <v>812</v>
      </c>
      <c r="H456" s="8">
        <f t="shared" si="1"/>
        <v>73066.8</v>
      </c>
      <c r="I456" s="8">
        <f t="shared" si="2"/>
        <v>20</v>
      </c>
      <c r="K456" s="8" t="str">
        <f t="shared" si="3"/>
        <v>43962|Пермь</v>
      </c>
    </row>
    <row r="457" ht="14.25" customHeight="1">
      <c r="A457" s="10">
        <v>43969.0</v>
      </c>
      <c r="B457" s="11" t="s">
        <v>26</v>
      </c>
      <c r="C457" s="11">
        <v>14290.5</v>
      </c>
      <c r="D457" s="11">
        <v>1246162.5</v>
      </c>
      <c r="E457" s="7">
        <f t="array" ref="E457">_xlfn.XLOOKUP($K457,
         'Лист2'!$G$2:$G$505,
         'Лист2'!$C$2:$C$505,
         "не найдено")</f>
        <v>16</v>
      </c>
      <c r="F457" s="7">
        <f t="array" ref="F457">_xlfn.XLOOKUP($K457,
         'Лист2'!$G$2:$G$505,
         'Лист2'!$D$2:$D$505,
         "не найдено")</f>
        <v>925</v>
      </c>
      <c r="G457" s="7">
        <f t="array" ref="G457">_xlfn.XLOOKUP($K457,
         'Лист2'!$G$2:$G$505,
         'Лист2'!$D$2:$D$505,
         "не найдено")</f>
        <v>925</v>
      </c>
      <c r="H457" s="8">
        <f t="shared" si="1"/>
        <v>77885.15625</v>
      </c>
      <c r="I457" s="8">
        <f t="shared" si="2"/>
        <v>21</v>
      </c>
      <c r="K457" s="8" t="str">
        <f t="shared" si="3"/>
        <v>43969|Пермь</v>
      </c>
    </row>
    <row r="458" ht="14.25" customHeight="1">
      <c r="A458" s="5">
        <v>43965.0</v>
      </c>
      <c r="B458" s="6" t="s">
        <v>26</v>
      </c>
      <c r="C458" s="6">
        <v>14385.0</v>
      </c>
      <c r="D458" s="6">
        <v>1223491.5</v>
      </c>
      <c r="E458" s="7">
        <f t="array" ref="E458">_xlfn.XLOOKUP($K458,
         'Лист2'!$G$2:$G$505,
         'Лист2'!$C$2:$C$505,
         "не найдено")</f>
        <v>15</v>
      </c>
      <c r="F458" s="7">
        <f t="array" ref="F458">_xlfn.XLOOKUP($K458,
         'Лист2'!$G$2:$G$505,
         'Лист2'!$D$2:$D$505,
         "не найдено")</f>
        <v>890</v>
      </c>
      <c r="G458" s="7">
        <f t="array" ref="G458">_xlfn.XLOOKUP($K458,
         'Лист2'!$G$2:$G$505,
         'Лист2'!$D$2:$D$505,
         "не найдено")</f>
        <v>890</v>
      </c>
      <c r="H458" s="8">
        <f t="shared" si="1"/>
        <v>81566.1</v>
      </c>
      <c r="I458" s="8">
        <f t="shared" si="2"/>
        <v>20</v>
      </c>
      <c r="K458" s="8" t="str">
        <f t="shared" si="3"/>
        <v>43965|Пермь</v>
      </c>
    </row>
    <row r="459" ht="14.25" customHeight="1">
      <c r="A459" s="10">
        <v>43966.0</v>
      </c>
      <c r="B459" s="11" t="s">
        <v>26</v>
      </c>
      <c r="C459" s="11">
        <v>16498.5</v>
      </c>
      <c r="D459" s="11">
        <v>1370482.5</v>
      </c>
      <c r="E459" s="7">
        <f t="array" ref="E459">_xlfn.XLOOKUP($K459,
         'Лист2'!$G$2:$G$505,
         'Лист2'!$C$2:$C$505,
         "не найдено")</f>
        <v>15</v>
      </c>
      <c r="F459" s="7">
        <f t="array" ref="F459">_xlfn.XLOOKUP($K459,
         'Лист2'!$G$2:$G$505,
         'Лист2'!$D$2:$D$505,
         "не найдено")</f>
        <v>980</v>
      </c>
      <c r="G459" s="7">
        <f t="array" ref="G459">_xlfn.XLOOKUP($K459,
         'Лист2'!$G$2:$G$505,
         'Лист2'!$D$2:$D$505,
         "не найдено")</f>
        <v>980</v>
      </c>
      <c r="H459" s="8">
        <f t="shared" si="1"/>
        <v>91365.5</v>
      </c>
      <c r="I459" s="8">
        <f t="shared" si="2"/>
        <v>20</v>
      </c>
      <c r="K459" s="8" t="str">
        <f t="shared" si="3"/>
        <v>43966|Пермь</v>
      </c>
    </row>
    <row r="460" ht="14.25" customHeight="1">
      <c r="A460" s="5">
        <v>43978.0</v>
      </c>
      <c r="B460" s="6" t="s">
        <v>24</v>
      </c>
      <c r="C460" s="6">
        <v>13203.0</v>
      </c>
      <c r="D460" s="6">
        <v>1211457.0</v>
      </c>
      <c r="E460" s="7">
        <f t="array" ref="E460">_xlfn.XLOOKUP($K460,
         'Лист2'!$G$2:$G$505,
         'Лист2'!$C$2:$C$505,
         "не найдено")</f>
        <v>15</v>
      </c>
      <c r="F460" s="7">
        <f t="array" ref="F460">_xlfn.XLOOKUP($K460,
         'Лист2'!$G$2:$G$505,
         'Лист2'!$D$2:$D$505,
         "не найдено")</f>
        <v>809</v>
      </c>
      <c r="G460" s="7">
        <f t="array" ref="G460">_xlfn.XLOOKUP($K460,
         'Лист2'!$G$2:$G$505,
         'Лист2'!$D$2:$D$505,
         "не найдено")</f>
        <v>809</v>
      </c>
      <c r="H460" s="8">
        <f t="shared" si="1"/>
        <v>80763.8</v>
      </c>
      <c r="I460" s="8">
        <f t="shared" si="2"/>
        <v>22</v>
      </c>
      <c r="K460" s="8" t="str">
        <f t="shared" si="3"/>
        <v>43978|Ростов-на-Дону</v>
      </c>
    </row>
    <row r="461" ht="14.25" customHeight="1">
      <c r="A461" s="10">
        <v>43973.0</v>
      </c>
      <c r="B461" s="11" t="s">
        <v>24</v>
      </c>
      <c r="C461" s="11">
        <v>15802.5</v>
      </c>
      <c r="D461" s="11">
        <v>1411909.5</v>
      </c>
      <c r="E461" s="7">
        <f t="array" ref="E461">_xlfn.XLOOKUP($K461,
         'Лист2'!$G$2:$G$505,
         'Лист2'!$C$2:$C$505,
         "не найдено")</f>
        <v>15</v>
      </c>
      <c r="F461" s="7">
        <f t="array" ref="F461">_xlfn.XLOOKUP($K461,
         'Лист2'!$G$2:$G$505,
         'Лист2'!$D$2:$D$505,
         "не найдено")</f>
        <v>903</v>
      </c>
      <c r="G461" s="7">
        <f t="array" ref="G461">_xlfn.XLOOKUP($K461,
         'Лист2'!$G$2:$G$505,
         'Лист2'!$D$2:$D$505,
         "не найдено")</f>
        <v>903</v>
      </c>
      <c r="H461" s="8">
        <f t="shared" si="1"/>
        <v>94127.3</v>
      </c>
      <c r="I461" s="8">
        <f t="shared" si="2"/>
        <v>21</v>
      </c>
      <c r="K461" s="8" t="str">
        <f t="shared" si="3"/>
        <v>43973|Ростов-на-Дону</v>
      </c>
    </row>
    <row r="462" ht="14.25" customHeight="1">
      <c r="A462" s="5">
        <v>43983.0</v>
      </c>
      <c r="B462" s="6" t="s">
        <v>24</v>
      </c>
      <c r="C462" s="6">
        <v>16476.0</v>
      </c>
      <c r="D462" s="6">
        <v>1565632.5</v>
      </c>
      <c r="E462" s="7">
        <f t="array" ref="E462">_xlfn.XLOOKUP($K462,
         'Лист2'!$G$2:$G$505,
         'Лист2'!$C$2:$C$505,
         "не найдено")</f>
        <v>16</v>
      </c>
      <c r="F462" s="7">
        <f t="array" ref="F462">_xlfn.XLOOKUP($K462,
         'Лист2'!$G$2:$G$505,
         'Лист2'!$D$2:$D$505,
         "не найдено")</f>
        <v>1019</v>
      </c>
      <c r="G462" s="7">
        <f t="array" ref="G462">_xlfn.XLOOKUP($K462,
         'Лист2'!$G$2:$G$505,
         'Лист2'!$D$2:$D$505,
         "не найдено")</f>
        <v>1019</v>
      </c>
      <c r="H462" s="8">
        <f t="shared" si="1"/>
        <v>97852.03125</v>
      </c>
      <c r="I462" s="8">
        <f t="shared" si="2"/>
        <v>23</v>
      </c>
      <c r="K462" s="8" t="str">
        <f t="shared" si="3"/>
        <v>43983|Ростов-на-Дону</v>
      </c>
    </row>
    <row r="463" ht="14.25" customHeight="1">
      <c r="A463" s="10">
        <v>43962.0</v>
      </c>
      <c r="B463" s="11" t="s">
        <v>24</v>
      </c>
      <c r="C463" s="11">
        <v>12654.0</v>
      </c>
      <c r="D463" s="11">
        <v>1081158.0</v>
      </c>
      <c r="E463" s="7">
        <f t="array" ref="E463">_xlfn.XLOOKUP($K463,
         'Лист2'!$G$2:$G$505,
         'Лист2'!$C$2:$C$505,
         "не найдено")</f>
        <v>15</v>
      </c>
      <c r="F463" s="7">
        <f t="array" ref="F463">_xlfn.XLOOKUP($K463,
         'Лист2'!$G$2:$G$505,
         'Лист2'!$D$2:$D$505,
         "не найдено")</f>
        <v>684</v>
      </c>
      <c r="G463" s="7">
        <f t="array" ref="G463">_xlfn.XLOOKUP($K463,
         'Лист2'!$G$2:$G$505,
         'Лист2'!$D$2:$D$505,
         "не найдено")</f>
        <v>684</v>
      </c>
      <c r="H463" s="8">
        <f t="shared" si="1"/>
        <v>72077.2</v>
      </c>
      <c r="I463" s="8">
        <f t="shared" si="2"/>
        <v>20</v>
      </c>
      <c r="K463" s="8" t="str">
        <f t="shared" si="3"/>
        <v>43962|Ростов-на-Дону</v>
      </c>
    </row>
    <row r="464" ht="14.25" customHeight="1">
      <c r="A464" s="5">
        <v>43980.0</v>
      </c>
      <c r="B464" s="6" t="s">
        <v>26</v>
      </c>
      <c r="C464" s="6">
        <v>19647.0</v>
      </c>
      <c r="D464" s="6">
        <v>1764669.0</v>
      </c>
      <c r="E464" s="7">
        <f t="array" ref="E464">_xlfn.XLOOKUP($K464,
         'Лист2'!$G$2:$G$505,
         'Лист2'!$C$2:$C$505,
         "не найдено")</f>
        <v>17</v>
      </c>
      <c r="F464" s="7">
        <f t="array" ref="F464">_xlfn.XLOOKUP($K464,
         'Лист2'!$G$2:$G$505,
         'Лист2'!$D$2:$D$505,
         "не найдено")</f>
        <v>1296</v>
      </c>
      <c r="G464" s="7">
        <f t="array" ref="G464">_xlfn.XLOOKUP($K464,
         'Лист2'!$G$2:$G$505,
         'Лист2'!$D$2:$D$505,
         "не найдено")</f>
        <v>1296</v>
      </c>
      <c r="H464" s="8">
        <f t="shared" si="1"/>
        <v>103804.0588</v>
      </c>
      <c r="I464" s="8">
        <f t="shared" si="2"/>
        <v>22</v>
      </c>
      <c r="K464" s="8" t="str">
        <f t="shared" si="3"/>
        <v>43980|Пермь</v>
      </c>
    </row>
    <row r="465" ht="14.25" customHeight="1">
      <c r="A465" s="10">
        <v>43969.0</v>
      </c>
      <c r="B465" s="11" t="s">
        <v>24</v>
      </c>
      <c r="C465" s="11">
        <v>12450.0</v>
      </c>
      <c r="D465" s="11">
        <v>1115146.5</v>
      </c>
      <c r="E465" s="7">
        <f t="array" ref="E465">_xlfn.XLOOKUP($K465,
         'Лист2'!$G$2:$G$505,
         'Лист2'!$C$2:$C$505,
         "не найдено")</f>
        <v>15</v>
      </c>
      <c r="F465" s="7">
        <f t="array" ref="F465">_xlfn.XLOOKUP($K465,
         'Лист2'!$G$2:$G$505,
         'Лист2'!$D$2:$D$505,
         "не найдено")</f>
        <v>729</v>
      </c>
      <c r="G465" s="7">
        <f t="array" ref="G465">_xlfn.XLOOKUP($K465,
         'Лист2'!$G$2:$G$505,
         'Лист2'!$D$2:$D$505,
         "не найдено")</f>
        <v>729</v>
      </c>
      <c r="H465" s="8">
        <f t="shared" si="1"/>
        <v>74343.1</v>
      </c>
      <c r="I465" s="8">
        <f t="shared" si="2"/>
        <v>21</v>
      </c>
      <c r="K465" s="8" t="str">
        <f t="shared" si="3"/>
        <v>43969|Ростов-на-Дону</v>
      </c>
    </row>
    <row r="466" ht="14.25" customHeight="1">
      <c r="A466" s="5">
        <v>43965.0</v>
      </c>
      <c r="B466" s="6" t="s">
        <v>24</v>
      </c>
      <c r="C466" s="6">
        <v>11161.5</v>
      </c>
      <c r="D466" s="6">
        <v>963502.5</v>
      </c>
      <c r="E466" s="7">
        <f t="array" ref="E466">_xlfn.XLOOKUP($K466,
         'Лист2'!$G$2:$G$505,
         'Лист2'!$C$2:$C$505,
         "не найдено")</f>
        <v>15</v>
      </c>
      <c r="F466" s="7">
        <f t="array" ref="F466">_xlfn.XLOOKUP($K466,
         'Лист2'!$G$2:$G$505,
         'Лист2'!$D$2:$D$505,
         "не найдено")</f>
        <v>638</v>
      </c>
      <c r="G466" s="7">
        <f t="array" ref="G466">_xlfn.XLOOKUP($K466,
         'Лист2'!$G$2:$G$505,
         'Лист2'!$D$2:$D$505,
         "не найдено")</f>
        <v>638</v>
      </c>
      <c r="H466" s="8">
        <f t="shared" si="1"/>
        <v>64233.5</v>
      </c>
      <c r="I466" s="8">
        <f t="shared" si="2"/>
        <v>20</v>
      </c>
      <c r="K466" s="8" t="str">
        <f t="shared" si="3"/>
        <v>43965|Ростов-на-Дону</v>
      </c>
    </row>
    <row r="467" ht="14.25" customHeight="1">
      <c r="A467" s="10">
        <v>43966.0</v>
      </c>
      <c r="B467" s="11" t="s">
        <v>24</v>
      </c>
      <c r="C467" s="11">
        <v>12229.5</v>
      </c>
      <c r="D467" s="11">
        <v>1122730.5</v>
      </c>
      <c r="E467" s="7">
        <f t="array" ref="E467">_xlfn.XLOOKUP($K467,
         'Лист2'!$G$2:$G$505,
         'Лист2'!$C$2:$C$505,
         "не найдено")</f>
        <v>15</v>
      </c>
      <c r="F467" s="7">
        <f t="array" ref="F467">_xlfn.XLOOKUP($K467,
         'Лист2'!$G$2:$G$505,
         'Лист2'!$D$2:$D$505,
         "не найдено")</f>
        <v>688</v>
      </c>
      <c r="G467" s="7">
        <f t="array" ref="G467">_xlfn.XLOOKUP($K467,
         'Лист2'!$G$2:$G$505,
         'Лист2'!$D$2:$D$505,
         "не найдено")</f>
        <v>688</v>
      </c>
      <c r="H467" s="8">
        <f t="shared" si="1"/>
        <v>74848.7</v>
      </c>
      <c r="I467" s="8">
        <f t="shared" si="2"/>
        <v>20</v>
      </c>
      <c r="K467" s="8" t="str">
        <f t="shared" si="3"/>
        <v>43966|Ростов-на-Дону</v>
      </c>
    </row>
    <row r="468" ht="14.25" customHeight="1">
      <c r="A468" s="5">
        <v>43978.0</v>
      </c>
      <c r="B468" s="6" t="s">
        <v>22</v>
      </c>
      <c r="C468" s="6">
        <v>28050.0</v>
      </c>
      <c r="D468" s="6">
        <v>2458555.5</v>
      </c>
      <c r="E468" s="7">
        <f t="array" ref="E468">_xlfn.XLOOKUP($K468,
         'Лист2'!$G$2:$G$505,
         'Лист2'!$C$2:$C$505,
         "не найдено")</f>
        <v>20</v>
      </c>
      <c r="F468" s="7">
        <f t="array" ref="F468">_xlfn.XLOOKUP($K468,
         'Лист2'!$G$2:$G$505,
         'Лист2'!$D$2:$D$505,
         "не найдено")</f>
        <v>1873</v>
      </c>
      <c r="G468" s="7">
        <f t="array" ref="G468">_xlfn.XLOOKUP($K468,
         'Лист2'!$G$2:$G$505,
         'Лист2'!$D$2:$D$505,
         "не найдено")</f>
        <v>1873</v>
      </c>
      <c r="H468" s="8">
        <f t="shared" si="1"/>
        <v>122927.775</v>
      </c>
      <c r="I468" s="8">
        <f t="shared" si="2"/>
        <v>22</v>
      </c>
      <c r="K468" s="8" t="str">
        <f t="shared" si="3"/>
        <v>43978|Краснодар</v>
      </c>
    </row>
    <row r="469" ht="14.25" customHeight="1">
      <c r="A469" s="10">
        <v>43973.0</v>
      </c>
      <c r="B469" s="11" t="s">
        <v>22</v>
      </c>
      <c r="C469" s="11">
        <v>30781.5</v>
      </c>
      <c r="D469" s="11">
        <v>2540715.0</v>
      </c>
      <c r="E469" s="7">
        <f t="array" ref="E469">_xlfn.XLOOKUP($K469,
         'Лист2'!$G$2:$G$505,
         'Лист2'!$C$2:$C$505,
         "не найдено")</f>
        <v>19</v>
      </c>
      <c r="F469" s="7">
        <f t="array" ref="F469">_xlfn.XLOOKUP($K469,
         'Лист2'!$G$2:$G$505,
         'Лист2'!$D$2:$D$505,
         "не найдено")</f>
        <v>1859</v>
      </c>
      <c r="G469" s="7">
        <f t="array" ref="G469">_xlfn.XLOOKUP($K469,
         'Лист2'!$G$2:$G$505,
         'Лист2'!$D$2:$D$505,
         "не найдено")</f>
        <v>1859</v>
      </c>
      <c r="H469" s="8">
        <f t="shared" si="1"/>
        <v>133721.8421</v>
      </c>
      <c r="I469" s="8">
        <f t="shared" si="2"/>
        <v>21</v>
      </c>
      <c r="K469" s="8" t="str">
        <f t="shared" si="3"/>
        <v>43973|Краснодар</v>
      </c>
    </row>
    <row r="470" ht="14.25" customHeight="1">
      <c r="A470" s="5">
        <v>43983.0</v>
      </c>
      <c r="B470" s="6" t="s">
        <v>22</v>
      </c>
      <c r="C470" s="6">
        <v>27960.0</v>
      </c>
      <c r="D470" s="6">
        <v>2538967.5</v>
      </c>
      <c r="E470" s="7">
        <f t="array" ref="E470">_xlfn.XLOOKUP($K470,
         'Лист2'!$G$2:$G$505,
         'Лист2'!$C$2:$C$505,
         "не найдено")</f>
        <v>21</v>
      </c>
      <c r="F470" s="7">
        <f t="array" ref="F470">_xlfn.XLOOKUP($K470,
         'Лист2'!$G$2:$G$505,
         'Лист2'!$D$2:$D$505,
         "не найдено")</f>
        <v>1879</v>
      </c>
      <c r="G470" s="7">
        <f t="array" ref="G470">_xlfn.XLOOKUP($K470,
         'Лист2'!$G$2:$G$505,
         'Лист2'!$D$2:$D$505,
         "не найдено")</f>
        <v>1879</v>
      </c>
      <c r="H470" s="8">
        <f t="shared" si="1"/>
        <v>120903.2143</v>
      </c>
      <c r="I470" s="8">
        <f t="shared" si="2"/>
        <v>23</v>
      </c>
      <c r="K470" s="8" t="str">
        <f t="shared" si="3"/>
        <v>43983|Краснодар</v>
      </c>
    </row>
    <row r="471" ht="14.25" customHeight="1">
      <c r="A471" s="10">
        <v>43962.0</v>
      </c>
      <c r="B471" s="11" t="s">
        <v>22</v>
      </c>
      <c r="C471" s="11">
        <v>23629.5</v>
      </c>
      <c r="D471" s="11">
        <v>2164365.0</v>
      </c>
      <c r="E471" s="7">
        <f t="array" ref="E471">_xlfn.XLOOKUP($K471,
         'Лист2'!$G$2:$G$505,
         'Лист2'!$C$2:$C$505,
         "не найдено")</f>
        <v>19</v>
      </c>
      <c r="F471" s="7">
        <f t="array" ref="F471">_xlfn.XLOOKUP($K471,
         'Лист2'!$G$2:$G$505,
         'Лист2'!$D$2:$D$505,
         "не найдено")</f>
        <v>1527</v>
      </c>
      <c r="G471" s="7">
        <f t="array" ref="G471">_xlfn.XLOOKUP($K471,
         'Лист2'!$G$2:$G$505,
         'Лист2'!$D$2:$D$505,
         "не найдено")</f>
        <v>1527</v>
      </c>
      <c r="H471" s="8">
        <f t="shared" si="1"/>
        <v>113913.9474</v>
      </c>
      <c r="I471" s="8">
        <f t="shared" si="2"/>
        <v>20</v>
      </c>
      <c r="K471" s="8" t="str">
        <f t="shared" si="3"/>
        <v>43962|Краснодар</v>
      </c>
    </row>
    <row r="472" ht="14.25" customHeight="1">
      <c r="A472" s="5">
        <v>43980.0</v>
      </c>
      <c r="B472" s="6" t="s">
        <v>24</v>
      </c>
      <c r="C472" s="6">
        <v>17052.0</v>
      </c>
      <c r="D472" s="6">
        <v>1549020.0</v>
      </c>
      <c r="E472" s="7">
        <f t="array" ref="E472">_xlfn.XLOOKUP($K472,
         'Лист2'!$G$2:$G$505,
         'Лист2'!$C$2:$C$505,
         "не найдено")</f>
        <v>16</v>
      </c>
      <c r="F472" s="7">
        <f t="array" ref="F472">_xlfn.XLOOKUP($K472,
         'Лист2'!$G$2:$G$505,
         'Лист2'!$D$2:$D$505,
         "не найдено")</f>
        <v>981</v>
      </c>
      <c r="G472" s="7">
        <f t="array" ref="G472">_xlfn.XLOOKUP($K472,
         'Лист2'!$G$2:$G$505,
         'Лист2'!$D$2:$D$505,
         "не найдено")</f>
        <v>981</v>
      </c>
      <c r="H472" s="8">
        <f t="shared" si="1"/>
        <v>96813.75</v>
      </c>
      <c r="I472" s="8">
        <f t="shared" si="2"/>
        <v>22</v>
      </c>
      <c r="K472" s="8" t="str">
        <f t="shared" si="3"/>
        <v>43980|Ростов-на-Дону</v>
      </c>
    </row>
    <row r="473" ht="14.25" customHeight="1">
      <c r="A473" s="10">
        <v>43969.0</v>
      </c>
      <c r="B473" s="11" t="s">
        <v>22</v>
      </c>
      <c r="C473" s="11">
        <v>27181.5</v>
      </c>
      <c r="D473" s="11">
        <v>2324490.0</v>
      </c>
      <c r="E473" s="7">
        <f t="array" ref="E473">_xlfn.XLOOKUP($K473,
         'Лист2'!$G$2:$G$505,
         'Лист2'!$C$2:$C$505,
         "не найдено")</f>
        <v>19</v>
      </c>
      <c r="F473" s="7">
        <f t="array" ref="F473">_xlfn.XLOOKUP($K473,
         'Лист2'!$G$2:$G$505,
         'Лист2'!$D$2:$D$505,
         "не найдено")</f>
        <v>1741</v>
      </c>
      <c r="G473" s="7">
        <f t="array" ref="G473">_xlfn.XLOOKUP($K473,
         'Лист2'!$G$2:$G$505,
         'Лист2'!$D$2:$D$505,
         "не найдено")</f>
        <v>1741</v>
      </c>
      <c r="H473" s="8">
        <f t="shared" si="1"/>
        <v>122341.5789</v>
      </c>
      <c r="I473" s="8">
        <f t="shared" si="2"/>
        <v>21</v>
      </c>
      <c r="K473" s="8" t="str">
        <f t="shared" si="3"/>
        <v>43969|Краснодар</v>
      </c>
    </row>
    <row r="474" ht="14.25" customHeight="1">
      <c r="A474" s="5">
        <v>43965.0</v>
      </c>
      <c r="B474" s="6" t="s">
        <v>22</v>
      </c>
      <c r="C474" s="6">
        <v>25656.0</v>
      </c>
      <c r="D474" s="6">
        <v>2225341.5</v>
      </c>
      <c r="E474" s="7">
        <f t="array" ref="E474">_xlfn.XLOOKUP($K474,
         'Лист2'!$G$2:$G$505,
         'Лист2'!$C$2:$C$505,
         "не найдено")</f>
        <v>19</v>
      </c>
      <c r="F474" s="7">
        <f t="array" ref="F474">_xlfn.XLOOKUP($K474,
         'Лист2'!$G$2:$G$505,
         'Лист2'!$D$2:$D$505,
         "не найдено")</f>
        <v>1635</v>
      </c>
      <c r="G474" s="7">
        <f t="array" ref="G474">_xlfn.XLOOKUP($K474,
         'Лист2'!$G$2:$G$505,
         'Лист2'!$D$2:$D$505,
         "не найдено")</f>
        <v>1635</v>
      </c>
      <c r="H474" s="8">
        <f t="shared" si="1"/>
        <v>117123.2368</v>
      </c>
      <c r="I474" s="8">
        <f t="shared" si="2"/>
        <v>20</v>
      </c>
      <c r="K474" s="8" t="str">
        <f t="shared" si="3"/>
        <v>43965|Краснодар</v>
      </c>
    </row>
    <row r="475" ht="14.25" customHeight="1">
      <c r="A475" s="10">
        <v>43966.0</v>
      </c>
      <c r="B475" s="11" t="s">
        <v>22</v>
      </c>
      <c r="C475" s="11">
        <v>29283.0</v>
      </c>
      <c r="D475" s="11">
        <v>2477487.0</v>
      </c>
      <c r="E475" s="7">
        <f t="array" ref="E475">_xlfn.XLOOKUP($K475,
         'Лист2'!$G$2:$G$505,
         'Лист2'!$C$2:$C$505,
         "не найдено")</f>
        <v>19</v>
      </c>
      <c r="F475" s="7">
        <f t="array" ref="F475">_xlfn.XLOOKUP($K475,
         'Лист2'!$G$2:$G$505,
         'Лист2'!$D$2:$D$505,
         "не найдено")</f>
        <v>1780</v>
      </c>
      <c r="G475" s="7">
        <f t="array" ref="G475">_xlfn.XLOOKUP($K475,
         'Лист2'!$G$2:$G$505,
         'Лист2'!$D$2:$D$505,
         "не найдено")</f>
        <v>1780</v>
      </c>
      <c r="H475" s="8">
        <f t="shared" si="1"/>
        <v>130394.0526</v>
      </c>
      <c r="I475" s="8">
        <f t="shared" si="2"/>
        <v>20</v>
      </c>
      <c r="K475" s="8" t="str">
        <f t="shared" si="3"/>
        <v>43966|Краснодар</v>
      </c>
    </row>
    <row r="476" ht="14.25" customHeight="1">
      <c r="A476" s="5">
        <v>43980.0</v>
      </c>
      <c r="B476" s="6" t="s">
        <v>22</v>
      </c>
      <c r="C476" s="6">
        <v>32782.5</v>
      </c>
      <c r="D476" s="6">
        <v>2854741.5</v>
      </c>
      <c r="E476" s="7">
        <f t="array" ref="E476">_xlfn.XLOOKUP($K476,
         'Лист2'!$G$2:$G$505,
         'Лист2'!$C$2:$C$505,
         "не найдено")</f>
        <v>20</v>
      </c>
      <c r="F476" s="7">
        <f t="array" ref="F476">_xlfn.XLOOKUP($K476,
         'Лист2'!$G$2:$G$505,
         'Лист2'!$D$2:$D$505,
         "не найдено")</f>
        <v>2064</v>
      </c>
      <c r="G476" s="7">
        <f t="array" ref="G476">_xlfn.XLOOKUP($K476,
         'Лист2'!$G$2:$G$505,
         'Лист2'!$D$2:$D$505,
         "не найдено")</f>
        <v>2064</v>
      </c>
      <c r="H476" s="8">
        <f t="shared" si="1"/>
        <v>142737.075</v>
      </c>
      <c r="I476" s="8">
        <f t="shared" si="2"/>
        <v>22</v>
      </c>
      <c r="K476" s="8" t="str">
        <f t="shared" si="3"/>
        <v>43980|Краснодар</v>
      </c>
    </row>
    <row r="477" ht="14.25" customHeight="1">
      <c r="A477" s="10">
        <v>43978.0</v>
      </c>
      <c r="B477" s="11" t="s">
        <v>15</v>
      </c>
      <c r="C477" s="11">
        <v>215592.0</v>
      </c>
      <c r="D477" s="11">
        <v>2.23423005E7</v>
      </c>
      <c r="E477" s="7">
        <f t="array" ref="E477">_xlfn.XLOOKUP($K477,
         'Лист2'!$G$2:$G$505,
         'Лист2'!$C$2:$C$505,
         "не найдено")</f>
        <v>59</v>
      </c>
      <c r="F477" s="7">
        <f t="array" ref="F477">_xlfn.XLOOKUP($K477,
         'Лист2'!$G$2:$G$505,
         'Лист2'!$D$2:$D$505,
         "не найдено")</f>
        <v>13942</v>
      </c>
      <c r="G477" s="7">
        <f t="array" ref="G477">_xlfn.XLOOKUP($K477,
         'Лист2'!$G$2:$G$505,
         'Лист2'!$D$2:$D$505,
         "не найдено")</f>
        <v>13942</v>
      </c>
      <c r="H477" s="8">
        <f t="shared" si="1"/>
        <v>378683.0593</v>
      </c>
      <c r="I477" s="8">
        <f t="shared" si="2"/>
        <v>22</v>
      </c>
      <c r="K477" s="8" t="str">
        <f t="shared" si="3"/>
        <v>43978|Москва Запад</v>
      </c>
    </row>
    <row r="478" ht="14.25" customHeight="1">
      <c r="A478" s="5">
        <v>43973.0</v>
      </c>
      <c r="B478" s="6" t="s">
        <v>15</v>
      </c>
      <c r="C478" s="6">
        <v>228334.5</v>
      </c>
      <c r="D478" s="6">
        <v>2.23807725E7</v>
      </c>
      <c r="E478" s="7">
        <f t="array" ref="E478">_xlfn.XLOOKUP($K478,
         'Лист2'!$G$2:$G$505,
         'Лист2'!$C$2:$C$505,
         "не найдено")</f>
        <v>60</v>
      </c>
      <c r="F478" s="7">
        <f t="array" ref="F478">_xlfn.XLOOKUP($K478,
         'Лист2'!$G$2:$G$505,
         'Лист2'!$D$2:$D$505,
         "не найдено")</f>
        <v>14050</v>
      </c>
      <c r="G478" s="7">
        <f t="array" ref="G478">_xlfn.XLOOKUP($K478,
         'Лист2'!$G$2:$G$505,
         'Лист2'!$D$2:$D$505,
         "не найдено")</f>
        <v>14050</v>
      </c>
      <c r="H478" s="8">
        <f t="shared" si="1"/>
        <v>373012.875</v>
      </c>
      <c r="I478" s="8">
        <f t="shared" si="2"/>
        <v>21</v>
      </c>
      <c r="K478" s="8" t="str">
        <f t="shared" si="3"/>
        <v>43973|Москва Запад</v>
      </c>
    </row>
    <row r="479" ht="14.25" customHeight="1">
      <c r="A479" s="10">
        <v>43983.0</v>
      </c>
      <c r="B479" s="11" t="s">
        <v>15</v>
      </c>
      <c r="C479" s="11">
        <v>188776.5</v>
      </c>
      <c r="D479" s="11">
        <v>1.94653725E7</v>
      </c>
      <c r="E479" s="7">
        <f t="array" ref="E479">_xlfn.XLOOKUP($K479,
         'Лист2'!$G$2:$G$505,
         'Лист2'!$C$2:$C$505,
         "не найдено")</f>
        <v>59</v>
      </c>
      <c r="F479" s="7">
        <f t="array" ref="F479">_xlfn.XLOOKUP($K479,
         'Лист2'!$G$2:$G$505,
         'Лист2'!$D$2:$D$505,
         "не найдено")</f>
        <v>12299</v>
      </c>
      <c r="G479" s="7">
        <f t="array" ref="G479">_xlfn.XLOOKUP($K479,
         'Лист2'!$G$2:$G$505,
         'Лист2'!$D$2:$D$505,
         "не найдено")</f>
        <v>12299</v>
      </c>
      <c r="H479" s="8">
        <f t="shared" si="1"/>
        <v>329921.5678</v>
      </c>
      <c r="I479" s="8">
        <f t="shared" si="2"/>
        <v>23</v>
      </c>
      <c r="K479" s="8" t="str">
        <f t="shared" si="3"/>
        <v>43983|Москва Запад</v>
      </c>
    </row>
    <row r="480" ht="14.25" customHeight="1">
      <c r="A480" s="5">
        <v>43962.0</v>
      </c>
      <c r="B480" s="6" t="s">
        <v>15</v>
      </c>
      <c r="C480" s="6">
        <v>175293.0</v>
      </c>
      <c r="D480" s="6">
        <v>1.7919144E7</v>
      </c>
      <c r="E480" s="7">
        <f t="array" ref="E480">_xlfn.XLOOKUP($K480,
         'Лист2'!$G$2:$G$505,
         'Лист2'!$C$2:$C$505,
         "не найдено")</f>
        <v>60</v>
      </c>
      <c r="F480" s="7">
        <f t="array" ref="F480">_xlfn.XLOOKUP($K480,
         'Лист2'!$G$2:$G$505,
         'Лист2'!$D$2:$D$505,
         "не найдено")</f>
        <v>11100</v>
      </c>
      <c r="G480" s="7">
        <f t="array" ref="G480">_xlfn.XLOOKUP($K480,
         'Лист2'!$G$2:$G$505,
         'Лист2'!$D$2:$D$505,
         "не найдено")</f>
        <v>11100</v>
      </c>
      <c r="H480" s="8">
        <f t="shared" si="1"/>
        <v>298652.4</v>
      </c>
      <c r="I480" s="8">
        <f t="shared" si="2"/>
        <v>20</v>
      </c>
      <c r="K480" s="8" t="str">
        <f t="shared" si="3"/>
        <v>43962|Москва Запад</v>
      </c>
    </row>
    <row r="481" ht="14.25" customHeight="1">
      <c r="A481" s="10">
        <v>43969.0</v>
      </c>
      <c r="B481" s="11" t="s">
        <v>15</v>
      </c>
      <c r="C481" s="11">
        <v>201999.0</v>
      </c>
      <c r="D481" s="11">
        <v>2.04224355E7</v>
      </c>
      <c r="E481" s="7">
        <f t="array" ref="E481">_xlfn.XLOOKUP($K481,
         'Лист2'!$G$2:$G$505,
         'Лист2'!$C$2:$C$505,
         "не найдено")</f>
        <v>60</v>
      </c>
      <c r="F481" s="7">
        <f t="array" ref="F481">_xlfn.XLOOKUP($K481,
         'Лист2'!$G$2:$G$505,
         'Лист2'!$D$2:$D$505,
         "не найдено")</f>
        <v>12460</v>
      </c>
      <c r="G481" s="7">
        <f t="array" ref="G481">_xlfn.XLOOKUP($K481,
         'Лист2'!$G$2:$G$505,
         'Лист2'!$D$2:$D$505,
         "не найдено")</f>
        <v>12460</v>
      </c>
      <c r="H481" s="8">
        <f t="shared" si="1"/>
        <v>340373.925</v>
      </c>
      <c r="I481" s="8">
        <f t="shared" si="2"/>
        <v>21</v>
      </c>
      <c r="K481" s="8" t="str">
        <f t="shared" si="3"/>
        <v>43969|Москва Запад</v>
      </c>
    </row>
    <row r="482" ht="14.25" customHeight="1">
      <c r="A482" s="5">
        <v>43965.0</v>
      </c>
      <c r="B482" s="6" t="s">
        <v>15</v>
      </c>
      <c r="C482" s="6">
        <v>197946.0</v>
      </c>
      <c r="D482" s="6">
        <v>1.99424355E7</v>
      </c>
      <c r="E482" s="7">
        <f t="array" ref="E482">_xlfn.XLOOKUP($K482,
         'Лист2'!$G$2:$G$505,
         'Лист2'!$C$2:$C$505,
         "не найдено")</f>
        <v>60</v>
      </c>
      <c r="F482" s="7">
        <f t="array" ref="F482">_xlfn.XLOOKUP($K482,
         'Лист2'!$G$2:$G$505,
         'Лист2'!$D$2:$D$505,
         "не найдено")</f>
        <v>11935</v>
      </c>
      <c r="G482" s="7">
        <f t="array" ref="G482">_xlfn.XLOOKUP($K482,
         'Лист2'!$G$2:$G$505,
         'Лист2'!$D$2:$D$505,
         "не найдено")</f>
        <v>11935</v>
      </c>
      <c r="H482" s="8">
        <f t="shared" si="1"/>
        <v>332373.925</v>
      </c>
      <c r="I482" s="8">
        <f t="shared" si="2"/>
        <v>20</v>
      </c>
      <c r="K482" s="8" t="str">
        <f t="shared" si="3"/>
        <v>43965|Москва Запад</v>
      </c>
    </row>
    <row r="483" ht="14.25" customHeight="1">
      <c r="A483" s="10">
        <v>43966.0</v>
      </c>
      <c r="B483" s="11" t="s">
        <v>15</v>
      </c>
      <c r="C483" s="11">
        <v>230896.5</v>
      </c>
      <c r="D483" s="11">
        <v>2.3085222E7</v>
      </c>
      <c r="E483" s="7">
        <f t="array" ref="E483">_xlfn.XLOOKUP($K483,
         'Лист2'!$G$2:$G$505,
         'Лист2'!$C$2:$C$505,
         "не найдено")</f>
        <v>60</v>
      </c>
      <c r="F483" s="7">
        <f t="array" ref="F483">_xlfn.XLOOKUP($K483,
         'Лист2'!$G$2:$G$505,
         'Лист2'!$D$2:$D$505,
         "не найдено")</f>
        <v>13544</v>
      </c>
      <c r="G483" s="7">
        <f t="array" ref="G483">_xlfn.XLOOKUP($K483,
         'Лист2'!$G$2:$G$505,
         'Лист2'!$D$2:$D$505,
         "не найдено")</f>
        <v>13544</v>
      </c>
      <c r="H483" s="8">
        <f t="shared" si="1"/>
        <v>384753.7</v>
      </c>
      <c r="I483" s="8">
        <f t="shared" si="2"/>
        <v>20</v>
      </c>
      <c r="K483" s="8" t="str">
        <f t="shared" si="3"/>
        <v>43966|Москва Запад</v>
      </c>
    </row>
    <row r="484" ht="14.25" customHeight="1">
      <c r="A484" s="5">
        <v>43978.0</v>
      </c>
      <c r="B484" s="6" t="s">
        <v>13</v>
      </c>
      <c r="C484" s="6">
        <v>203532.0</v>
      </c>
      <c r="D484" s="6">
        <v>2.09533245E7</v>
      </c>
      <c r="E484" s="7">
        <f t="array" ref="E484">_xlfn.XLOOKUP($K484,
         'Лист2'!$G$2:$G$505,
         'Лист2'!$C$2:$C$505,
         "не найдено")</f>
        <v>54</v>
      </c>
      <c r="F484" s="7">
        <f t="array" ref="F484">_xlfn.XLOOKUP($K484,
         'Лист2'!$G$2:$G$505,
         'Лист2'!$D$2:$D$505,
         "не найдено")</f>
        <v>13091</v>
      </c>
      <c r="G484" s="7">
        <f t="array" ref="G484">_xlfn.XLOOKUP($K484,
         'Лист2'!$G$2:$G$505,
         'Лист2'!$D$2:$D$505,
         "не найдено")</f>
        <v>13091</v>
      </c>
      <c r="H484" s="8">
        <f t="shared" si="1"/>
        <v>388024.5278</v>
      </c>
      <c r="I484" s="8">
        <f t="shared" si="2"/>
        <v>22</v>
      </c>
      <c r="K484" s="8" t="str">
        <f t="shared" si="3"/>
        <v>43978|Москва Восток</v>
      </c>
    </row>
    <row r="485" ht="14.25" customHeight="1">
      <c r="A485" s="10">
        <v>43973.0</v>
      </c>
      <c r="B485" s="11" t="s">
        <v>13</v>
      </c>
      <c r="C485" s="11">
        <v>214428.0</v>
      </c>
      <c r="D485" s="11">
        <v>2.08125855E7</v>
      </c>
      <c r="E485" s="7">
        <f t="array" ref="E485">_xlfn.XLOOKUP($K485,
         'Лист2'!$G$2:$G$505,
         'Лист2'!$C$2:$C$505,
         "не найдено")</f>
        <v>54</v>
      </c>
      <c r="F485" s="7">
        <f t="array" ref="F485">_xlfn.XLOOKUP($K485,
         'Лист2'!$G$2:$G$505,
         'Лист2'!$D$2:$D$505,
         "не найдено")</f>
        <v>13014</v>
      </c>
      <c r="G485" s="7">
        <f t="array" ref="G485">_xlfn.XLOOKUP($K485,
         'Лист2'!$G$2:$G$505,
         'Лист2'!$D$2:$D$505,
         "не найдено")</f>
        <v>13014</v>
      </c>
      <c r="H485" s="8">
        <f t="shared" si="1"/>
        <v>385418.25</v>
      </c>
      <c r="I485" s="8">
        <f t="shared" si="2"/>
        <v>21</v>
      </c>
      <c r="K485" s="8" t="str">
        <f t="shared" si="3"/>
        <v>43973|Москва Восток</v>
      </c>
    </row>
    <row r="486" ht="14.25" customHeight="1">
      <c r="A486" s="5">
        <v>43983.0</v>
      </c>
      <c r="B486" s="6" t="s">
        <v>13</v>
      </c>
      <c r="C486" s="6">
        <v>183228.0</v>
      </c>
      <c r="D486" s="6">
        <v>1.89141945E7</v>
      </c>
      <c r="E486" s="7">
        <f t="array" ref="E486">_xlfn.XLOOKUP($K486,
         'Лист2'!$G$2:$G$505,
         'Лист2'!$C$2:$C$505,
         "не найдено")</f>
        <v>54</v>
      </c>
      <c r="F486" s="7">
        <f t="array" ref="F486">_xlfn.XLOOKUP($K486,
         'Лист2'!$G$2:$G$505,
         'Лист2'!$D$2:$D$505,
         "не найдено")</f>
        <v>11864</v>
      </c>
      <c r="G486" s="7">
        <f t="array" ref="G486">_xlfn.XLOOKUP($K486,
         'Лист2'!$G$2:$G$505,
         'Лист2'!$D$2:$D$505,
         "не найдено")</f>
        <v>11864</v>
      </c>
      <c r="H486" s="8">
        <f t="shared" si="1"/>
        <v>350262.8611</v>
      </c>
      <c r="I486" s="8">
        <f t="shared" si="2"/>
        <v>23</v>
      </c>
      <c r="K486" s="8" t="str">
        <f t="shared" si="3"/>
        <v>43983|Москва Восток</v>
      </c>
    </row>
    <row r="487" ht="14.25" customHeight="1">
      <c r="A487" s="10">
        <v>43962.0</v>
      </c>
      <c r="B487" s="11" t="s">
        <v>13</v>
      </c>
      <c r="C487" s="11">
        <v>166948.5</v>
      </c>
      <c r="D487" s="11">
        <v>1.6971231E7</v>
      </c>
      <c r="E487" s="7">
        <f t="array" ref="E487">_xlfn.XLOOKUP($K487,
         'Лист2'!$G$2:$G$505,
         'Лист2'!$C$2:$C$505,
         "не найдено")</f>
        <v>54</v>
      </c>
      <c r="F487" s="7">
        <f t="array" ref="F487">_xlfn.XLOOKUP($K487,
         'Лист2'!$G$2:$G$505,
         'Лист2'!$D$2:$D$505,
         "не найдено")</f>
        <v>10570</v>
      </c>
      <c r="G487" s="7">
        <f t="array" ref="G487">_xlfn.XLOOKUP($K487,
         'Лист2'!$G$2:$G$505,
         'Лист2'!$D$2:$D$505,
         "не найдено")</f>
        <v>10570</v>
      </c>
      <c r="H487" s="8">
        <f t="shared" si="1"/>
        <v>314282.0556</v>
      </c>
      <c r="I487" s="8">
        <f t="shared" si="2"/>
        <v>20</v>
      </c>
      <c r="K487" s="8" t="str">
        <f t="shared" si="3"/>
        <v>43962|Москва Восток</v>
      </c>
    </row>
    <row r="488" ht="14.25" customHeight="1">
      <c r="A488" s="5">
        <v>43980.0</v>
      </c>
      <c r="B488" s="6" t="s">
        <v>15</v>
      </c>
      <c r="C488" s="6">
        <v>232102.5</v>
      </c>
      <c r="D488" s="6">
        <v>2.31204435E7</v>
      </c>
      <c r="E488" s="7">
        <f t="array" ref="E488">_xlfn.XLOOKUP($K488,
         'Лист2'!$G$2:$G$505,
         'Лист2'!$C$2:$C$505,
         "не найдено")</f>
        <v>59</v>
      </c>
      <c r="F488" s="7">
        <f t="array" ref="F488">_xlfn.XLOOKUP($K488,
         'Лист2'!$G$2:$G$505,
         'Лист2'!$D$2:$D$505,
         "не найдено")</f>
        <v>14507</v>
      </c>
      <c r="G488" s="7">
        <f t="array" ref="G488">_xlfn.XLOOKUP($K488,
         'Лист2'!$G$2:$G$505,
         'Лист2'!$D$2:$D$505,
         "не найдено")</f>
        <v>14507</v>
      </c>
      <c r="H488" s="8">
        <f t="shared" si="1"/>
        <v>391871.9237</v>
      </c>
      <c r="I488" s="8">
        <f t="shared" si="2"/>
        <v>22</v>
      </c>
      <c r="K488" s="8" t="str">
        <f t="shared" si="3"/>
        <v>43980|Москва Запад</v>
      </c>
    </row>
    <row r="489" ht="14.25" customHeight="1">
      <c r="A489" s="10">
        <v>43969.0</v>
      </c>
      <c r="B489" s="11" t="s">
        <v>13</v>
      </c>
      <c r="C489" s="11">
        <v>196560.0</v>
      </c>
      <c r="D489" s="11">
        <v>1.9855122E7</v>
      </c>
      <c r="E489" s="7">
        <f t="array" ref="E489">_xlfn.XLOOKUP($K489,
         'Лист2'!$G$2:$G$505,
         'Лист2'!$C$2:$C$505,
         "не найдено")</f>
        <v>54</v>
      </c>
      <c r="F489" s="7">
        <f t="array" ref="F489">_xlfn.XLOOKUP($K489,
         'Лист2'!$G$2:$G$505,
         'Лист2'!$D$2:$D$505,
         "не найдено")</f>
        <v>12012</v>
      </c>
      <c r="G489" s="7">
        <f t="array" ref="G489">_xlfn.XLOOKUP($K489,
         'Лист2'!$G$2:$G$505,
         'Лист2'!$D$2:$D$505,
         "не найдено")</f>
        <v>12012</v>
      </c>
      <c r="H489" s="8">
        <f t="shared" si="1"/>
        <v>367687.4444</v>
      </c>
      <c r="I489" s="8">
        <f t="shared" si="2"/>
        <v>21</v>
      </c>
      <c r="K489" s="8" t="str">
        <f t="shared" si="3"/>
        <v>43969|Москва Восток</v>
      </c>
    </row>
    <row r="490" ht="14.25" customHeight="1">
      <c r="A490" s="5">
        <v>43965.0</v>
      </c>
      <c r="B490" s="6" t="s">
        <v>13</v>
      </c>
      <c r="C490" s="6">
        <v>186496.5</v>
      </c>
      <c r="D490" s="6">
        <v>1.8640998E7</v>
      </c>
      <c r="E490" s="7">
        <f t="array" ref="E490">_xlfn.XLOOKUP($K490,
         'Лист2'!$G$2:$G$505,
         'Лист2'!$C$2:$C$505,
         "не найдено")</f>
        <v>54</v>
      </c>
      <c r="F490" s="7">
        <f t="array" ref="F490">_xlfn.XLOOKUP($K490,
         'Лист2'!$G$2:$G$505,
         'Лист2'!$D$2:$D$505,
         "не найдено")</f>
        <v>11194</v>
      </c>
      <c r="G490" s="7">
        <f t="array" ref="G490">_xlfn.XLOOKUP($K490,
         'Лист2'!$G$2:$G$505,
         'Лист2'!$D$2:$D$505,
         "не найдено")</f>
        <v>11194</v>
      </c>
      <c r="H490" s="8">
        <f t="shared" si="1"/>
        <v>345203.6667</v>
      </c>
      <c r="I490" s="8">
        <f t="shared" si="2"/>
        <v>20</v>
      </c>
      <c r="K490" s="8" t="str">
        <f t="shared" si="3"/>
        <v>43965|Москва Восток</v>
      </c>
    </row>
    <row r="491" ht="14.25" customHeight="1">
      <c r="A491" s="10">
        <v>43966.0</v>
      </c>
      <c r="B491" s="11" t="s">
        <v>13</v>
      </c>
      <c r="C491" s="11">
        <v>219772.5</v>
      </c>
      <c r="D491" s="11">
        <v>2.18952945E7</v>
      </c>
      <c r="E491" s="7">
        <f t="array" ref="E491">_xlfn.XLOOKUP($K491,
         'Лист2'!$G$2:$G$505,
         'Лист2'!$C$2:$C$505,
         "не найдено")</f>
        <v>54</v>
      </c>
      <c r="F491" s="7">
        <f t="array" ref="F491">_xlfn.XLOOKUP($K491,
         'Лист2'!$G$2:$G$505,
         'Лист2'!$D$2:$D$505,
         "не найдено")</f>
        <v>12791</v>
      </c>
      <c r="G491" s="7">
        <f t="array" ref="G491">_xlfn.XLOOKUP($K491,
         'Лист2'!$G$2:$G$505,
         'Лист2'!$D$2:$D$505,
         "не найдено")</f>
        <v>12791</v>
      </c>
      <c r="H491" s="8">
        <f t="shared" si="1"/>
        <v>405468.4167</v>
      </c>
      <c r="I491" s="8">
        <f t="shared" si="2"/>
        <v>20</v>
      </c>
      <c r="K491" s="8" t="str">
        <f t="shared" si="3"/>
        <v>43966|Москва Восток</v>
      </c>
    </row>
    <row r="492" ht="14.25" customHeight="1">
      <c r="A492" s="5">
        <v>43980.0</v>
      </c>
      <c r="B492" s="6" t="s">
        <v>13</v>
      </c>
      <c r="C492" s="6">
        <v>226476.0</v>
      </c>
      <c r="D492" s="6">
        <v>2.24161515E7</v>
      </c>
      <c r="E492" s="7">
        <f t="array" ref="E492">_xlfn.XLOOKUP($K492,
         'Лист2'!$G$2:$G$505,
         'Лист2'!$C$2:$C$505,
         "не найдено")</f>
        <v>54</v>
      </c>
      <c r="F492" s="7">
        <f t="array" ref="F492">_xlfn.XLOOKUP($K492,
         'Лист2'!$G$2:$G$505,
         'Лист2'!$D$2:$D$505,
         "не найдено")</f>
        <v>14031</v>
      </c>
      <c r="G492" s="7">
        <f t="array" ref="G492">_xlfn.XLOOKUP($K492,
         'Лист2'!$G$2:$G$505,
         'Лист2'!$D$2:$D$505,
         "не найдено")</f>
        <v>14031</v>
      </c>
      <c r="H492" s="8">
        <f t="shared" si="1"/>
        <v>415113.9167</v>
      </c>
      <c r="I492" s="8">
        <f t="shared" si="2"/>
        <v>22</v>
      </c>
      <c r="K492" s="8" t="str">
        <f t="shared" si="3"/>
        <v>43980|Москва Восток</v>
      </c>
    </row>
    <row r="493" ht="14.25" customHeight="1">
      <c r="A493" s="10">
        <v>43978.0</v>
      </c>
      <c r="B493" s="11" t="s">
        <v>23</v>
      </c>
      <c r="C493" s="11">
        <v>8362.5</v>
      </c>
      <c r="D493" s="11">
        <v>687684.0</v>
      </c>
      <c r="E493" s="7">
        <f t="array" ref="E493">_xlfn.XLOOKUP($K493,
         'Лист2'!$G$2:$G$505,
         'Лист2'!$C$2:$C$505,
         "не найдено")</f>
        <v>7</v>
      </c>
      <c r="F493" s="7">
        <f t="array" ref="F493">_xlfn.XLOOKUP($K493,
         'Лист2'!$G$2:$G$505,
         'Лист2'!$D$2:$D$505,
         "не найдено")</f>
        <v>409</v>
      </c>
      <c r="G493" s="7">
        <f t="array" ref="G493">_xlfn.XLOOKUP($K493,
         'Лист2'!$G$2:$G$505,
         'Лист2'!$D$2:$D$505,
         "не найдено")</f>
        <v>409</v>
      </c>
      <c r="H493" s="8">
        <f t="shared" si="1"/>
        <v>98240.57143</v>
      </c>
      <c r="I493" s="8">
        <f t="shared" si="2"/>
        <v>22</v>
      </c>
      <c r="K493" s="8" t="str">
        <f t="shared" si="3"/>
        <v>43978|Тюмень</v>
      </c>
    </row>
    <row r="494" ht="14.25" customHeight="1">
      <c r="A494" s="5">
        <v>43973.0</v>
      </c>
      <c r="B494" s="6" t="s">
        <v>27</v>
      </c>
      <c r="C494" s="6">
        <v>17008.5</v>
      </c>
      <c r="D494" s="6">
        <v>1398771.0</v>
      </c>
      <c r="E494" s="7">
        <f t="array" ref="E494">_xlfn.XLOOKUP($K494,
         'Лист2'!$G$2:$G$505,
         'Лист2'!$C$2:$C$505,
         "не найдено")</f>
        <v>18</v>
      </c>
      <c r="F494" s="7">
        <f t="array" ref="F494">_xlfn.XLOOKUP($K494,
         'Лист2'!$G$2:$G$505,
         'Лист2'!$D$2:$D$505,
         "не найдено")</f>
        <v>985</v>
      </c>
      <c r="G494" s="7">
        <f t="array" ref="G494">_xlfn.XLOOKUP($K494,
         'Лист2'!$G$2:$G$505,
         'Лист2'!$D$2:$D$505,
         "не найдено")</f>
        <v>985</v>
      </c>
      <c r="H494" s="8">
        <f t="shared" si="1"/>
        <v>77709.5</v>
      </c>
      <c r="I494" s="8">
        <f t="shared" si="2"/>
        <v>21</v>
      </c>
      <c r="K494" s="8" t="str">
        <f t="shared" si="3"/>
        <v>43973|Новосибирск</v>
      </c>
    </row>
    <row r="495" ht="14.25" customHeight="1">
      <c r="A495" s="10">
        <v>43983.0</v>
      </c>
      <c r="B495" s="11" t="s">
        <v>29</v>
      </c>
      <c r="C495" s="11">
        <v>5166.0</v>
      </c>
      <c r="D495" s="11">
        <v>389013.0</v>
      </c>
      <c r="E495" s="7">
        <f t="array" ref="E495">_xlfn.XLOOKUP($K495,
         'Лист2'!$G$2:$G$505,
         'Лист2'!$C$2:$C$505,
         "не найдено")</f>
        <v>9</v>
      </c>
      <c r="F495" s="7">
        <f t="array" ref="F495">_xlfn.XLOOKUP($K495,
         'Лист2'!$G$2:$G$505,
         'Лист2'!$D$2:$D$505,
         "не найдено")</f>
        <v>294</v>
      </c>
      <c r="G495" s="7">
        <f t="array" ref="G495">_xlfn.XLOOKUP($K495,
         'Лист2'!$G$2:$G$505,
         'Лист2'!$D$2:$D$505,
         "не найдено")</f>
        <v>294</v>
      </c>
      <c r="H495" s="8">
        <f t="shared" si="1"/>
        <v>43223.66667</v>
      </c>
      <c r="I495" s="8">
        <f t="shared" si="2"/>
        <v>23</v>
      </c>
      <c r="K495" s="8" t="str">
        <f t="shared" si="3"/>
        <v>43983|Томск</v>
      </c>
    </row>
    <row r="496" ht="14.25" customHeight="1">
      <c r="A496" s="5">
        <v>43962.0</v>
      </c>
      <c r="B496" s="6" t="s">
        <v>27</v>
      </c>
      <c r="C496" s="6">
        <v>10941.0</v>
      </c>
      <c r="D496" s="6">
        <v>880356.0</v>
      </c>
      <c r="E496" s="7">
        <f t="array" ref="E496">_xlfn.XLOOKUP($K496,
         'Лист2'!$G$2:$G$505,
         'Лист2'!$C$2:$C$505,
         "не найдено")</f>
        <v>15</v>
      </c>
      <c r="F496" s="7">
        <f t="array" ref="F496">_xlfn.XLOOKUP($K496,
         'Лист2'!$G$2:$G$505,
         'Лист2'!$D$2:$D$505,
         "не найдено")</f>
        <v>654</v>
      </c>
      <c r="G496" s="7">
        <f t="array" ref="G496">_xlfn.XLOOKUP($K496,
         'Лист2'!$G$2:$G$505,
         'Лист2'!$D$2:$D$505,
         "не найдено")</f>
        <v>654</v>
      </c>
      <c r="H496" s="8">
        <f t="shared" si="1"/>
        <v>58690.4</v>
      </c>
      <c r="I496" s="8">
        <f t="shared" si="2"/>
        <v>20</v>
      </c>
      <c r="K496" s="8" t="str">
        <f t="shared" si="3"/>
        <v>43962|Новосибирск</v>
      </c>
    </row>
    <row r="497" ht="14.25" customHeight="1">
      <c r="A497" s="10">
        <v>43969.0</v>
      </c>
      <c r="B497" s="11" t="s">
        <v>27</v>
      </c>
      <c r="C497" s="11">
        <v>14497.5</v>
      </c>
      <c r="D497" s="11">
        <v>1230711.0</v>
      </c>
      <c r="E497" s="7">
        <f t="array" ref="E497">_xlfn.XLOOKUP($K497,
         'Лист2'!$G$2:$G$505,
         'Лист2'!$C$2:$C$505,
         "не найдено")</f>
        <v>16</v>
      </c>
      <c r="F497" s="7">
        <f t="array" ref="F497">_xlfn.XLOOKUP($K497,
         'Лист2'!$G$2:$G$505,
         'Лист2'!$D$2:$D$505,
         "не найдено")</f>
        <v>864</v>
      </c>
      <c r="G497" s="7">
        <f t="array" ref="G497">_xlfn.XLOOKUP($K497,
         'Лист2'!$G$2:$G$505,
         'Лист2'!$D$2:$D$505,
         "не найдено")</f>
        <v>864</v>
      </c>
      <c r="H497" s="8">
        <f t="shared" si="1"/>
        <v>76919.4375</v>
      </c>
      <c r="I497" s="8">
        <f t="shared" si="2"/>
        <v>21</v>
      </c>
      <c r="K497" s="8" t="str">
        <f t="shared" si="3"/>
        <v>43969|Новосибирск</v>
      </c>
    </row>
    <row r="498" ht="14.25" customHeight="1">
      <c r="A498" s="5">
        <v>43965.0</v>
      </c>
      <c r="B498" s="6" t="s">
        <v>27</v>
      </c>
      <c r="C498" s="6">
        <v>13810.5</v>
      </c>
      <c r="D498" s="6">
        <v>1131676.5</v>
      </c>
      <c r="E498" s="7">
        <f t="array" ref="E498">_xlfn.XLOOKUP($K498,
         'Лист2'!$G$2:$G$505,
         'Лист2'!$C$2:$C$505,
         "не найдено")</f>
        <v>16</v>
      </c>
      <c r="F498" s="7">
        <f t="array" ref="F498">_xlfn.XLOOKUP($K498,
         'Лист2'!$G$2:$G$505,
         'Лист2'!$D$2:$D$505,
         "не найдено")</f>
        <v>834</v>
      </c>
      <c r="G498" s="7">
        <f t="array" ref="G498">_xlfn.XLOOKUP($K498,
         'Лист2'!$G$2:$G$505,
         'Лист2'!$D$2:$D$505,
         "не найдено")</f>
        <v>834</v>
      </c>
      <c r="H498" s="8">
        <f t="shared" si="1"/>
        <v>70729.78125</v>
      </c>
      <c r="I498" s="8">
        <f t="shared" si="2"/>
        <v>20</v>
      </c>
      <c r="K498" s="8" t="str">
        <f t="shared" si="3"/>
        <v>43965|Новосибирск</v>
      </c>
    </row>
    <row r="499" ht="14.25" customHeight="1">
      <c r="A499" s="10">
        <v>43966.0</v>
      </c>
      <c r="B499" s="11" t="s">
        <v>27</v>
      </c>
      <c r="C499" s="11">
        <v>13752.0</v>
      </c>
      <c r="D499" s="11">
        <v>1091040.0</v>
      </c>
      <c r="E499" s="7">
        <f t="array" ref="E499">_xlfn.XLOOKUP($K499,
         'Лист2'!$G$2:$G$505,
         'Лист2'!$C$2:$C$505,
         "не найдено")</f>
        <v>16</v>
      </c>
      <c r="F499" s="7">
        <f t="array" ref="F499">_xlfn.XLOOKUP($K499,
         'Лист2'!$G$2:$G$505,
         'Лист2'!$D$2:$D$505,
         "не найдено")</f>
        <v>817</v>
      </c>
      <c r="G499" s="7">
        <f t="array" ref="G499">_xlfn.XLOOKUP($K499,
         'Лист2'!$G$2:$G$505,
         'Лист2'!$D$2:$D$505,
         "не найдено")</f>
        <v>817</v>
      </c>
      <c r="H499" s="8">
        <f t="shared" si="1"/>
        <v>68190</v>
      </c>
      <c r="I499" s="8">
        <f t="shared" si="2"/>
        <v>20</v>
      </c>
      <c r="K499" s="8" t="str">
        <f t="shared" si="3"/>
        <v>43966|Новосибирск</v>
      </c>
    </row>
    <row r="500" ht="14.25" customHeight="1">
      <c r="A500" s="5">
        <v>43978.0</v>
      </c>
      <c r="B500" s="6" t="s">
        <v>27</v>
      </c>
      <c r="C500" s="6">
        <v>15276.0</v>
      </c>
      <c r="D500" s="6">
        <v>1350199.5</v>
      </c>
      <c r="E500" s="7">
        <f t="array" ref="E500">_xlfn.XLOOKUP($K500,
         'Лист2'!$G$2:$G$505,
         'Лист2'!$C$2:$C$505,
         "не найдено")</f>
        <v>18</v>
      </c>
      <c r="F500" s="7">
        <f t="array" ref="F500">_xlfn.XLOOKUP($K500,
         'Лист2'!$G$2:$G$505,
         'Лист2'!$D$2:$D$505,
         "не найдено")</f>
        <v>962</v>
      </c>
      <c r="G500" s="7">
        <f t="array" ref="G500">_xlfn.XLOOKUP($K500,
         'Лист2'!$G$2:$G$505,
         'Лист2'!$D$2:$D$505,
         "не найдено")</f>
        <v>962</v>
      </c>
      <c r="H500" s="8">
        <f t="shared" si="1"/>
        <v>75011.08333</v>
      </c>
      <c r="I500" s="8">
        <f t="shared" si="2"/>
        <v>22</v>
      </c>
      <c r="K500" s="8" t="str">
        <f t="shared" si="3"/>
        <v>43978|Новосибирск</v>
      </c>
    </row>
    <row r="501" ht="14.25" customHeight="1">
      <c r="A501" s="10">
        <v>43983.0</v>
      </c>
      <c r="B501" s="11" t="s">
        <v>28</v>
      </c>
      <c r="C501" s="11">
        <v>4408.5</v>
      </c>
      <c r="D501" s="11">
        <v>410892.0</v>
      </c>
      <c r="E501" s="7">
        <f t="array" ref="E501">_xlfn.XLOOKUP($K501,
         'Лист2'!$G$2:$G$505,
         'Лист2'!$C$2:$C$505,
         "не найдено")</f>
        <v>6</v>
      </c>
      <c r="F501" s="7">
        <f t="array" ref="F501">_xlfn.XLOOKUP($K501,
         'Лист2'!$G$2:$G$505,
         'Лист2'!$D$2:$D$505,
         "не найдено")</f>
        <v>237</v>
      </c>
      <c r="G501" s="7">
        <f t="array" ref="G501">_xlfn.XLOOKUP($K501,
         'Лист2'!$G$2:$G$505,
         'Лист2'!$D$2:$D$505,
         "не найдено")</f>
        <v>237</v>
      </c>
      <c r="H501" s="8">
        <f t="shared" si="1"/>
        <v>68482</v>
      </c>
      <c r="I501" s="8">
        <f t="shared" si="2"/>
        <v>23</v>
      </c>
      <c r="K501" s="8" t="str">
        <f t="shared" si="3"/>
        <v>43983|Уфа</v>
      </c>
    </row>
    <row r="502" ht="14.25" customHeight="1">
      <c r="A502" s="5">
        <v>43980.0</v>
      </c>
      <c r="B502" s="6" t="s">
        <v>23</v>
      </c>
      <c r="C502" s="6">
        <v>9927.0</v>
      </c>
      <c r="D502" s="6">
        <v>850840.5</v>
      </c>
      <c r="E502" s="7">
        <f t="array" ref="E502">_xlfn.XLOOKUP($K502,
         'Лист2'!$G$2:$G$505,
         'Лист2'!$C$2:$C$505,
         "не найдено")</f>
        <v>7</v>
      </c>
      <c r="F502" s="7">
        <f t="array" ref="F502">_xlfn.XLOOKUP($K502,
         'Лист2'!$G$2:$G$505,
         'Лист2'!$D$2:$D$505,
         "не найдено")</f>
        <v>491</v>
      </c>
      <c r="G502" s="7">
        <f t="array" ref="G502">_xlfn.XLOOKUP($K502,
         'Лист2'!$G$2:$G$505,
         'Лист2'!$D$2:$D$505,
         "не найдено")</f>
        <v>491</v>
      </c>
      <c r="H502" s="8">
        <f t="shared" si="1"/>
        <v>121548.6429</v>
      </c>
      <c r="I502" s="8">
        <f t="shared" si="2"/>
        <v>22</v>
      </c>
      <c r="K502" s="8" t="str">
        <f t="shared" si="3"/>
        <v>43980|Тюмень</v>
      </c>
    </row>
    <row r="503" ht="14.25" customHeight="1">
      <c r="A503" s="10">
        <v>43983.0</v>
      </c>
      <c r="B503" s="11" t="s">
        <v>23</v>
      </c>
      <c r="C503" s="11">
        <v>9474.0</v>
      </c>
      <c r="D503" s="11">
        <v>802447.5</v>
      </c>
      <c r="E503" s="7">
        <f t="array" ref="E503">_xlfn.XLOOKUP($K503,
         'Лист2'!$G$2:$G$505,
         'Лист2'!$C$2:$C$505,
         "не найдено")</f>
        <v>7</v>
      </c>
      <c r="F503" s="7">
        <f t="array" ref="F503">_xlfn.XLOOKUP($K503,
         'Лист2'!$G$2:$G$505,
         'Лист2'!$D$2:$D$505,
         "не найдено")</f>
        <v>500</v>
      </c>
      <c r="G503" s="7">
        <f t="array" ref="G503">_xlfn.XLOOKUP($K503,
         'Лист2'!$G$2:$G$505,
         'Лист2'!$D$2:$D$505,
         "не найдено")</f>
        <v>500</v>
      </c>
      <c r="H503" s="8">
        <f t="shared" si="1"/>
        <v>114635.3571</v>
      </c>
      <c r="I503" s="8">
        <f t="shared" si="2"/>
        <v>23</v>
      </c>
      <c r="K503" s="8" t="str">
        <f t="shared" si="3"/>
        <v>43983|Тюмень</v>
      </c>
    </row>
    <row r="504" ht="14.25" customHeight="1">
      <c r="A504" s="5">
        <v>43980.0</v>
      </c>
      <c r="B504" s="6" t="s">
        <v>27</v>
      </c>
      <c r="C504" s="6">
        <v>16878.0</v>
      </c>
      <c r="D504" s="6">
        <v>1438255.5</v>
      </c>
      <c r="E504" s="7">
        <f t="array" ref="E504">_xlfn.XLOOKUP($K504,
         'Лист2'!$G$2:$G$505,
         'Лист2'!$C$2:$C$505,
         "не найдено")</f>
        <v>18</v>
      </c>
      <c r="F504" s="7">
        <f t="array" ref="F504">_xlfn.XLOOKUP($K504,
         'Лист2'!$G$2:$G$505,
         'Лист2'!$D$2:$D$505,
         "не найдено")</f>
        <v>1014</v>
      </c>
      <c r="G504" s="7">
        <f t="array" ref="G504">_xlfn.XLOOKUP($K504,
         'Лист2'!$G$2:$G$505,
         'Лист2'!$D$2:$D$505,
         "не найдено")</f>
        <v>1014</v>
      </c>
      <c r="H504" s="8">
        <f t="shared" si="1"/>
        <v>79903.08333</v>
      </c>
      <c r="I504" s="8">
        <f t="shared" si="2"/>
        <v>22</v>
      </c>
      <c r="K504" s="8" t="str">
        <f t="shared" si="3"/>
        <v>43980|Новосибирск</v>
      </c>
    </row>
    <row r="505" ht="14.25" customHeight="1">
      <c r="A505" s="20">
        <v>43983.0</v>
      </c>
      <c r="B505" s="21" t="s">
        <v>27</v>
      </c>
      <c r="C505" s="21">
        <v>14238.0</v>
      </c>
      <c r="D505" s="21">
        <v>1293219.0</v>
      </c>
      <c r="E505" s="7">
        <f t="array" ref="E505">_xlfn.XLOOKUP($K505,
         'Лист2'!$G$2:$G$505,
         'Лист2'!$C$2:$C$505,
         "не найдено")</f>
        <v>18</v>
      </c>
      <c r="F505" s="7">
        <f t="array" ref="F505">_xlfn.XLOOKUP($K505,
         'Лист2'!$G$2:$G$505,
         'Лист2'!$D$2:$D$505,
         "не найдено")</f>
        <v>923</v>
      </c>
      <c r="G505" s="7">
        <f t="array" ref="G505">_xlfn.XLOOKUP($K505,
         'Лист2'!$G$2:$G$505,
         'Лист2'!$D$2:$D$505,
         "не найдено")</f>
        <v>923</v>
      </c>
      <c r="H505" s="8">
        <f t="shared" si="1"/>
        <v>71845.5</v>
      </c>
      <c r="I505" s="8">
        <f t="shared" si="2"/>
        <v>23</v>
      </c>
      <c r="K505" s="8" t="str">
        <f t="shared" si="3"/>
        <v>43983|Новосибирск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8" max="8" width="12.29"/>
    <col customWidth="1" min="9" max="9" width="24.43"/>
    <col customWidth="1" min="10" max="10" width="28.57"/>
    <col customWidth="1" min="11" max="11" width="24.43"/>
    <col customWidth="1" min="12" max="12" width="28.57"/>
    <col customWidth="1" min="13" max="13" width="24.43"/>
    <col customWidth="1" min="14" max="14" width="28.57"/>
    <col customWidth="1" min="15" max="15" width="24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8" max="8" width="12.29"/>
    <col customWidth="1" min="9" max="9" width="24.43"/>
    <col customWidth="1" min="10" max="10" width="28.57"/>
    <col customWidth="1" min="11" max="11" width="24.43"/>
    <col customWidth="1" min="12" max="12" width="28.57"/>
    <col customWidth="1" min="13" max="13" width="24.43"/>
    <col customWidth="1" min="14" max="14" width="28.57"/>
    <col customWidth="1" min="15" max="15" width="24.43"/>
  </cols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8" max="8" width="12.29"/>
    <col customWidth="1" min="9" max="9" width="24.43"/>
    <col customWidth="1" min="10" max="10" width="28.57"/>
    <col customWidth="1" min="11" max="11" width="24.43"/>
    <col customWidth="1" min="12" max="12" width="28.57"/>
    <col customWidth="1" min="13" max="13" width="24.43"/>
    <col customWidth="1" min="14" max="14" width="28.57"/>
    <col customWidth="1" min="15" max="15" width="24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8" max="8" width="12.29"/>
    <col customWidth="1" min="9" max="9" width="24.43"/>
    <col customWidth="1" min="10" max="10" width="28.57"/>
    <col customWidth="1" min="11" max="11" width="24.43"/>
    <col customWidth="1" min="12" max="12" width="28.57"/>
    <col customWidth="1" min="13" max="13" width="24.43"/>
    <col customWidth="1" min="14" max="14" width="28.57"/>
    <col customWidth="1" min="15" max="15" width="24.43"/>
  </cols>
  <sheetData>
    <row r="1"/>
    <row r="2"/>
    <row r="3"/>
    <row r="4"/>
    <row r="5"/>
    <row r="6"/>
    <row r="7"/>
    <row r="8"/>
    <row r="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5.86"/>
  </cols>
  <sheetData>
    <row r="1">
      <c r="A1" s="13" t="s">
        <v>30</v>
      </c>
      <c r="B1" s="14"/>
      <c r="C1" s="14"/>
      <c r="D1" s="14"/>
      <c r="E1" s="15"/>
    </row>
    <row r="2">
      <c r="A2" s="16">
        <v>1.0</v>
      </c>
      <c r="B2" s="17" t="s">
        <v>16</v>
      </c>
      <c r="C2" s="14"/>
      <c r="D2" s="14"/>
      <c r="E2" s="15"/>
    </row>
    <row r="3">
      <c r="A3" s="16">
        <v>2.0</v>
      </c>
      <c r="B3" s="17" t="s">
        <v>18</v>
      </c>
      <c r="C3" s="14"/>
      <c r="D3" s="14"/>
      <c r="E3" s="15"/>
    </row>
    <row r="4">
      <c r="A4" s="16">
        <v>3.0</v>
      </c>
      <c r="B4" s="17" t="s">
        <v>15</v>
      </c>
      <c r="C4" s="14"/>
      <c r="D4" s="14"/>
      <c r="E4" s="15"/>
    </row>
    <row r="7">
      <c r="A7" s="13" t="s">
        <v>31</v>
      </c>
      <c r="B7" s="14"/>
      <c r="C7" s="14"/>
      <c r="D7" s="14"/>
      <c r="E7" s="15"/>
    </row>
    <row r="8">
      <c r="A8" s="16">
        <v>1.0</v>
      </c>
      <c r="B8" s="17" t="s">
        <v>13</v>
      </c>
      <c r="C8" s="14"/>
      <c r="D8" s="14"/>
      <c r="E8" s="15"/>
    </row>
    <row r="9">
      <c r="A9" s="16">
        <v>2.0</v>
      </c>
      <c r="B9" s="17" t="s">
        <v>15</v>
      </c>
      <c r="C9" s="14"/>
      <c r="D9" s="14"/>
      <c r="E9" s="15"/>
    </row>
    <row r="10">
      <c r="A10" s="16">
        <v>3.0</v>
      </c>
      <c r="B10" s="17" t="s">
        <v>16</v>
      </c>
      <c r="C10" s="14"/>
      <c r="D10" s="14"/>
      <c r="E10" s="15"/>
    </row>
  </sheetData>
  <mergeCells count="8">
    <mergeCell ref="A1:E1"/>
    <mergeCell ref="B2:E2"/>
    <mergeCell ref="B3:E3"/>
    <mergeCell ref="B4:E4"/>
    <mergeCell ref="A7:E7"/>
    <mergeCell ref="B8:E8"/>
    <mergeCell ref="B9:E9"/>
    <mergeCell ref="B10:E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ht="14.25" customHeight="1">
      <c r="A2" s="18">
        <v>43949.0</v>
      </c>
      <c r="B2" s="19" t="s">
        <v>20</v>
      </c>
      <c r="C2" s="19">
        <v>36.0</v>
      </c>
      <c r="D2" s="19">
        <v>4923.0</v>
      </c>
      <c r="E2" s="19">
        <v>4560.0</v>
      </c>
      <c r="F2" s="8"/>
      <c r="G2" s="9" t="str">
        <f t="shared" ref="G2:G505" si="1">$A2 &amp; "|" &amp; $B2</f>
        <v>43949|Волгоград</v>
      </c>
    </row>
    <row r="3" ht="14.25" customHeight="1">
      <c r="A3" s="18">
        <v>43949.0</v>
      </c>
      <c r="B3" s="19" t="s">
        <v>17</v>
      </c>
      <c r="C3" s="19">
        <v>31.0</v>
      </c>
      <c r="D3" s="19">
        <v>5465.0</v>
      </c>
      <c r="E3" s="19">
        <v>5096.0</v>
      </c>
      <c r="G3" s="9" t="str">
        <f t="shared" si="1"/>
        <v>43949|Екатеринбург</v>
      </c>
    </row>
    <row r="4" ht="14.25" customHeight="1">
      <c r="A4" s="18">
        <v>43949.0</v>
      </c>
      <c r="B4" s="19" t="s">
        <v>19</v>
      </c>
      <c r="C4" s="19">
        <v>19.0</v>
      </c>
      <c r="D4" s="19">
        <v>1846.0</v>
      </c>
      <c r="E4" s="19">
        <v>1681.0</v>
      </c>
      <c r="G4" s="9" t="str">
        <f t="shared" si="1"/>
        <v>43949|Казань</v>
      </c>
    </row>
    <row r="5" ht="14.25" customHeight="1">
      <c r="A5" s="18">
        <v>43949.0</v>
      </c>
      <c r="B5" s="19" t="s">
        <v>10</v>
      </c>
      <c r="C5" s="19">
        <v>18.0</v>
      </c>
      <c r="D5" s="19">
        <v>1539.0</v>
      </c>
      <c r="E5" s="19">
        <v>1404.0</v>
      </c>
      <c r="G5" s="9" t="str">
        <f t="shared" si="1"/>
        <v>43949|Кемерово</v>
      </c>
    </row>
    <row r="6" ht="14.25" customHeight="1">
      <c r="A6" s="18">
        <v>43949.0</v>
      </c>
      <c r="B6" s="19" t="s">
        <v>22</v>
      </c>
      <c r="C6" s="19">
        <v>18.0</v>
      </c>
      <c r="D6" s="19">
        <v>1505.0</v>
      </c>
      <c r="E6" s="19">
        <v>1368.0</v>
      </c>
      <c r="G6" s="9" t="str">
        <f t="shared" si="1"/>
        <v>43949|Краснодар</v>
      </c>
    </row>
    <row r="7" ht="14.25" customHeight="1">
      <c r="A7" s="18">
        <v>43949.0</v>
      </c>
      <c r="B7" s="19" t="s">
        <v>13</v>
      </c>
      <c r="C7" s="19">
        <v>54.0</v>
      </c>
      <c r="D7" s="19">
        <v>12306.0</v>
      </c>
      <c r="E7" s="19">
        <v>11532.0</v>
      </c>
      <c r="G7" s="9" t="str">
        <f t="shared" si="1"/>
        <v>43949|Москва Восток</v>
      </c>
    </row>
    <row r="8" ht="14.25" customHeight="1">
      <c r="A8" s="18">
        <v>43949.0</v>
      </c>
      <c r="B8" s="19" t="s">
        <v>15</v>
      </c>
      <c r="C8" s="19">
        <v>59.0</v>
      </c>
      <c r="D8" s="19">
        <v>12943.0</v>
      </c>
      <c r="E8" s="19">
        <v>12072.0</v>
      </c>
      <c r="G8" s="9" t="str">
        <f t="shared" si="1"/>
        <v>43949|Москва Запад</v>
      </c>
    </row>
    <row r="9" ht="14.25" customHeight="1">
      <c r="A9" s="18">
        <v>43949.0</v>
      </c>
      <c r="B9" s="19" t="s">
        <v>21</v>
      </c>
      <c r="C9" s="19">
        <v>17.0</v>
      </c>
      <c r="D9" s="19">
        <v>1439.0</v>
      </c>
      <c r="E9" s="19">
        <v>1265.0</v>
      </c>
      <c r="G9" s="9" t="str">
        <f t="shared" si="1"/>
        <v>43949|Нижний Новгород</v>
      </c>
    </row>
    <row r="10" ht="14.25" customHeight="1">
      <c r="A10" s="18">
        <v>43949.0</v>
      </c>
      <c r="B10" s="19" t="s">
        <v>27</v>
      </c>
      <c r="C10" s="19">
        <v>15.0</v>
      </c>
      <c r="D10" s="19">
        <v>636.0</v>
      </c>
      <c r="E10" s="19">
        <v>547.0</v>
      </c>
      <c r="G10" s="9" t="str">
        <f t="shared" si="1"/>
        <v>43949|Новосибирск</v>
      </c>
    </row>
    <row r="11" ht="14.25" customHeight="1">
      <c r="A11" s="18">
        <v>43949.0</v>
      </c>
      <c r="B11" s="19" t="s">
        <v>26</v>
      </c>
      <c r="C11" s="19">
        <v>15.0</v>
      </c>
      <c r="D11" s="19">
        <v>780.0</v>
      </c>
      <c r="E11" s="19">
        <v>690.0</v>
      </c>
      <c r="G11" s="9" t="str">
        <f t="shared" si="1"/>
        <v>43949|Пермь</v>
      </c>
    </row>
    <row r="12" ht="14.25" customHeight="1">
      <c r="A12" s="18">
        <v>43949.0</v>
      </c>
      <c r="B12" s="19" t="s">
        <v>16</v>
      </c>
      <c r="C12" s="19">
        <v>125.0</v>
      </c>
      <c r="D12" s="19">
        <v>20914.0</v>
      </c>
      <c r="E12" s="19">
        <v>19479.0</v>
      </c>
      <c r="G12" s="9" t="str">
        <f t="shared" si="1"/>
        <v>43949|Санкт-Петербург Север</v>
      </c>
    </row>
    <row r="13" ht="14.25" customHeight="1">
      <c r="A13" s="18">
        <v>43949.0</v>
      </c>
      <c r="B13" s="19" t="s">
        <v>18</v>
      </c>
      <c r="C13" s="19">
        <v>128.0</v>
      </c>
      <c r="D13" s="19">
        <v>16450.0</v>
      </c>
      <c r="E13" s="19">
        <v>15320.0</v>
      </c>
      <c r="G13" s="9" t="str">
        <f t="shared" si="1"/>
        <v>43949|Санкт-Петербург Юг</v>
      </c>
    </row>
    <row r="14" ht="14.25" customHeight="1">
      <c r="A14" s="18">
        <v>43949.0</v>
      </c>
      <c r="B14" s="19" t="s">
        <v>25</v>
      </c>
      <c r="C14" s="19">
        <v>10.0</v>
      </c>
      <c r="D14" s="19">
        <v>580.0</v>
      </c>
      <c r="E14" s="19">
        <v>506.0</v>
      </c>
      <c r="G14" s="9" t="str">
        <f t="shared" si="1"/>
        <v>43949|Тольятти</v>
      </c>
    </row>
    <row r="15" ht="14.25" customHeight="1">
      <c r="A15" s="18">
        <v>43950.0</v>
      </c>
      <c r="B15" s="19" t="s">
        <v>20</v>
      </c>
      <c r="C15" s="19">
        <v>36.0</v>
      </c>
      <c r="D15" s="19">
        <v>4937.0</v>
      </c>
      <c r="E15" s="19">
        <v>4561.0</v>
      </c>
      <c r="G15" s="9" t="str">
        <f t="shared" si="1"/>
        <v>43950|Волгоград</v>
      </c>
    </row>
    <row r="16" ht="14.25" customHeight="1">
      <c r="A16" s="18">
        <v>43950.0</v>
      </c>
      <c r="B16" s="19" t="s">
        <v>17</v>
      </c>
      <c r="C16" s="19">
        <v>31.0</v>
      </c>
      <c r="D16" s="19">
        <v>5378.0</v>
      </c>
      <c r="E16" s="19">
        <v>4985.0</v>
      </c>
      <c r="G16" s="9" t="str">
        <f t="shared" si="1"/>
        <v>43950|Екатеринбург</v>
      </c>
    </row>
    <row r="17" ht="14.25" customHeight="1">
      <c r="A17" s="18">
        <v>43950.0</v>
      </c>
      <c r="B17" s="19" t="s">
        <v>19</v>
      </c>
      <c r="C17" s="19">
        <v>19.0</v>
      </c>
      <c r="D17" s="19">
        <v>1676.0</v>
      </c>
      <c r="E17" s="19">
        <v>1516.0</v>
      </c>
      <c r="G17" s="9" t="str">
        <f t="shared" si="1"/>
        <v>43950|Казань</v>
      </c>
    </row>
    <row r="18" ht="14.25" customHeight="1">
      <c r="A18" s="18">
        <v>43950.0</v>
      </c>
      <c r="B18" s="19" t="s">
        <v>10</v>
      </c>
      <c r="C18" s="19">
        <v>18.0</v>
      </c>
      <c r="D18" s="19">
        <v>1684.0</v>
      </c>
      <c r="E18" s="19">
        <v>1528.0</v>
      </c>
      <c r="G18" s="9" t="str">
        <f t="shared" si="1"/>
        <v>43950|Кемерово</v>
      </c>
    </row>
    <row r="19" ht="14.25" customHeight="1">
      <c r="A19" s="18">
        <v>43950.0</v>
      </c>
      <c r="B19" s="19" t="s">
        <v>22</v>
      </c>
      <c r="C19" s="19">
        <v>18.0</v>
      </c>
      <c r="D19" s="19">
        <v>1599.0</v>
      </c>
      <c r="E19" s="19">
        <v>1450.0</v>
      </c>
      <c r="G19" s="9" t="str">
        <f t="shared" si="1"/>
        <v>43950|Краснодар</v>
      </c>
    </row>
    <row r="20" ht="14.25" customHeight="1">
      <c r="A20" s="18">
        <v>43950.0</v>
      </c>
      <c r="B20" s="19" t="s">
        <v>13</v>
      </c>
      <c r="C20" s="19">
        <v>54.0</v>
      </c>
      <c r="D20" s="19">
        <v>12747.0</v>
      </c>
      <c r="E20" s="19">
        <v>11884.0</v>
      </c>
      <c r="G20" s="9" t="str">
        <f t="shared" si="1"/>
        <v>43950|Москва Восток</v>
      </c>
    </row>
    <row r="21" ht="14.25" customHeight="1">
      <c r="A21" s="18">
        <v>43950.0</v>
      </c>
      <c r="B21" s="19" t="s">
        <v>15</v>
      </c>
      <c r="C21" s="19">
        <v>59.0</v>
      </c>
      <c r="D21" s="19">
        <v>13186.0</v>
      </c>
      <c r="E21" s="19">
        <v>12251.0</v>
      </c>
      <c r="G21" s="9" t="str">
        <f t="shared" si="1"/>
        <v>43950|Москва Запад</v>
      </c>
    </row>
    <row r="22" ht="14.25" customHeight="1">
      <c r="A22" s="18">
        <v>43950.0</v>
      </c>
      <c r="B22" s="19" t="s">
        <v>21</v>
      </c>
      <c r="C22" s="19">
        <v>18.0</v>
      </c>
      <c r="D22" s="19">
        <v>1534.0</v>
      </c>
      <c r="E22" s="19">
        <v>1369.0</v>
      </c>
      <c r="G22" s="9" t="str">
        <f t="shared" si="1"/>
        <v>43950|Нижний Новгород</v>
      </c>
    </row>
    <row r="23" ht="14.25" customHeight="1">
      <c r="A23" s="18">
        <v>43950.0</v>
      </c>
      <c r="B23" s="19" t="s">
        <v>27</v>
      </c>
      <c r="C23" s="19">
        <v>15.0</v>
      </c>
      <c r="D23" s="19">
        <v>659.0</v>
      </c>
      <c r="E23" s="19">
        <v>575.0</v>
      </c>
      <c r="G23" s="9" t="str">
        <f t="shared" si="1"/>
        <v>43950|Новосибирск</v>
      </c>
    </row>
    <row r="24" ht="14.25" customHeight="1">
      <c r="A24" s="18">
        <v>43950.0</v>
      </c>
      <c r="B24" s="19" t="s">
        <v>26</v>
      </c>
      <c r="C24" s="19">
        <v>15.0</v>
      </c>
      <c r="D24" s="19">
        <v>786.0</v>
      </c>
      <c r="E24" s="19">
        <v>695.0</v>
      </c>
      <c r="G24" s="9" t="str">
        <f t="shared" si="1"/>
        <v>43950|Пермь</v>
      </c>
    </row>
    <row r="25" ht="14.25" customHeight="1">
      <c r="A25" s="18">
        <v>43950.0</v>
      </c>
      <c r="B25" s="19" t="s">
        <v>16</v>
      </c>
      <c r="C25" s="19">
        <v>125.0</v>
      </c>
      <c r="D25" s="19">
        <v>21863.0</v>
      </c>
      <c r="E25" s="19">
        <v>20160.0</v>
      </c>
      <c r="G25" s="9" t="str">
        <f t="shared" si="1"/>
        <v>43950|Санкт-Петербург Север</v>
      </c>
    </row>
    <row r="26" ht="14.25" customHeight="1">
      <c r="A26" s="18">
        <v>43950.0</v>
      </c>
      <c r="B26" s="19" t="s">
        <v>18</v>
      </c>
      <c r="C26" s="19">
        <v>128.0</v>
      </c>
      <c r="D26" s="19">
        <v>17368.0</v>
      </c>
      <c r="E26" s="19">
        <v>16077.0</v>
      </c>
      <c r="G26" s="9" t="str">
        <f t="shared" si="1"/>
        <v>43950|Санкт-Петербург Юг</v>
      </c>
    </row>
    <row r="27" ht="14.25" customHeight="1">
      <c r="A27" s="18">
        <v>43950.0</v>
      </c>
      <c r="B27" s="19" t="s">
        <v>25</v>
      </c>
      <c r="C27" s="19">
        <v>10.0</v>
      </c>
      <c r="D27" s="19">
        <v>502.0</v>
      </c>
      <c r="E27" s="19">
        <v>433.0</v>
      </c>
      <c r="G27" s="9" t="str">
        <f t="shared" si="1"/>
        <v>43950|Тольятти</v>
      </c>
    </row>
    <row r="28" ht="14.25" customHeight="1">
      <c r="A28" s="18">
        <v>43951.0</v>
      </c>
      <c r="B28" s="19" t="s">
        <v>20</v>
      </c>
      <c r="C28" s="19">
        <v>36.0</v>
      </c>
      <c r="D28" s="19">
        <v>5143.0</v>
      </c>
      <c r="E28" s="19">
        <v>4715.0</v>
      </c>
      <c r="G28" s="9" t="str">
        <f t="shared" si="1"/>
        <v>43951|Волгоград</v>
      </c>
    </row>
    <row r="29" ht="14.25" customHeight="1">
      <c r="A29" s="18">
        <v>43951.0</v>
      </c>
      <c r="B29" s="19" t="s">
        <v>17</v>
      </c>
      <c r="C29" s="19">
        <v>31.0</v>
      </c>
      <c r="D29" s="19">
        <v>5120.0</v>
      </c>
      <c r="E29" s="19">
        <v>4737.0</v>
      </c>
      <c r="G29" s="9" t="str">
        <f t="shared" si="1"/>
        <v>43951|Екатеринбург</v>
      </c>
    </row>
    <row r="30" ht="14.25" customHeight="1">
      <c r="A30" s="18">
        <v>43951.0</v>
      </c>
      <c r="B30" s="19" t="s">
        <v>19</v>
      </c>
      <c r="C30" s="19">
        <v>20.0</v>
      </c>
      <c r="D30" s="19">
        <v>1756.0</v>
      </c>
      <c r="E30" s="19">
        <v>1586.0</v>
      </c>
      <c r="G30" s="9" t="str">
        <f t="shared" si="1"/>
        <v>43951|Казань</v>
      </c>
    </row>
    <row r="31" ht="14.25" customHeight="1">
      <c r="A31" s="18">
        <v>43951.0</v>
      </c>
      <c r="B31" s="19" t="s">
        <v>10</v>
      </c>
      <c r="C31" s="19">
        <v>19.0</v>
      </c>
      <c r="D31" s="19">
        <v>1712.0</v>
      </c>
      <c r="E31" s="19">
        <v>1552.0</v>
      </c>
      <c r="G31" s="9" t="str">
        <f t="shared" si="1"/>
        <v>43951|Кемерово</v>
      </c>
    </row>
    <row r="32" ht="14.25" customHeight="1">
      <c r="A32" s="18">
        <v>43951.0</v>
      </c>
      <c r="B32" s="19" t="s">
        <v>22</v>
      </c>
      <c r="C32" s="19">
        <v>19.0</v>
      </c>
      <c r="D32" s="19">
        <v>1662.0</v>
      </c>
      <c r="E32" s="19">
        <v>1506.0</v>
      </c>
      <c r="G32" s="9" t="str">
        <f t="shared" si="1"/>
        <v>43951|Краснодар</v>
      </c>
    </row>
    <row r="33" ht="14.25" customHeight="1">
      <c r="A33" s="18">
        <v>43951.0</v>
      </c>
      <c r="B33" s="19" t="s">
        <v>13</v>
      </c>
      <c r="C33" s="19">
        <v>54.0</v>
      </c>
      <c r="D33" s="19">
        <v>12817.0</v>
      </c>
      <c r="E33" s="19">
        <v>11865.0</v>
      </c>
      <c r="G33" s="9" t="str">
        <f t="shared" si="1"/>
        <v>43951|Москва Восток</v>
      </c>
    </row>
    <row r="34" ht="14.25" customHeight="1">
      <c r="A34" s="18">
        <v>43951.0</v>
      </c>
      <c r="B34" s="19" t="s">
        <v>15</v>
      </c>
      <c r="C34" s="19">
        <v>59.0</v>
      </c>
      <c r="D34" s="19">
        <v>13251.0</v>
      </c>
      <c r="E34" s="19">
        <v>12255.0</v>
      </c>
      <c r="G34" s="9" t="str">
        <f t="shared" si="1"/>
        <v>43951|Москва Запад</v>
      </c>
    </row>
    <row r="35" ht="14.25" customHeight="1">
      <c r="A35" s="18">
        <v>43951.0</v>
      </c>
      <c r="B35" s="19" t="s">
        <v>21</v>
      </c>
      <c r="C35" s="19">
        <v>19.0</v>
      </c>
      <c r="D35" s="19">
        <v>1499.0</v>
      </c>
      <c r="E35" s="19">
        <v>1322.0</v>
      </c>
      <c r="G35" s="9" t="str">
        <f t="shared" si="1"/>
        <v>43951|Нижний Новгород</v>
      </c>
    </row>
    <row r="36" ht="14.25" customHeight="1">
      <c r="A36" s="18">
        <v>43951.0</v>
      </c>
      <c r="B36" s="19" t="s">
        <v>27</v>
      </c>
      <c r="C36" s="19">
        <v>15.0</v>
      </c>
      <c r="D36" s="19">
        <v>644.0</v>
      </c>
      <c r="E36" s="19">
        <v>550.0</v>
      </c>
      <c r="G36" s="9" t="str">
        <f t="shared" si="1"/>
        <v>43951|Новосибирск</v>
      </c>
    </row>
    <row r="37" ht="14.25" customHeight="1">
      <c r="A37" s="18">
        <v>43951.0</v>
      </c>
      <c r="B37" s="19" t="s">
        <v>26</v>
      </c>
      <c r="C37" s="19">
        <v>15.0</v>
      </c>
      <c r="D37" s="19">
        <v>791.0</v>
      </c>
      <c r="E37" s="19">
        <v>691.0</v>
      </c>
      <c r="G37" s="9" t="str">
        <f t="shared" si="1"/>
        <v>43951|Пермь</v>
      </c>
    </row>
    <row r="38" ht="14.25" customHeight="1">
      <c r="A38" s="18">
        <v>43951.0</v>
      </c>
      <c r="B38" s="19" t="s">
        <v>24</v>
      </c>
      <c r="C38" s="19">
        <v>15.0</v>
      </c>
      <c r="D38" s="19">
        <v>262.0</v>
      </c>
      <c r="E38" s="19">
        <v>195.0</v>
      </c>
      <c r="G38" s="9" t="str">
        <f t="shared" si="1"/>
        <v>43951|Ростов-на-Дону</v>
      </c>
    </row>
    <row r="39" ht="14.25" customHeight="1">
      <c r="A39" s="18">
        <v>43951.0</v>
      </c>
      <c r="B39" s="19" t="s">
        <v>16</v>
      </c>
      <c r="C39" s="19">
        <v>125.0</v>
      </c>
      <c r="D39" s="19">
        <v>22368.0</v>
      </c>
      <c r="E39" s="19">
        <v>20625.0</v>
      </c>
      <c r="G39" s="9" t="str">
        <f t="shared" si="1"/>
        <v>43951|Санкт-Петербург Север</v>
      </c>
    </row>
    <row r="40" ht="14.25" customHeight="1">
      <c r="A40" s="18">
        <v>43951.0</v>
      </c>
      <c r="B40" s="19" t="s">
        <v>18</v>
      </c>
      <c r="C40" s="19">
        <v>129.0</v>
      </c>
      <c r="D40" s="19">
        <v>18042.0</v>
      </c>
      <c r="E40" s="19">
        <v>16631.0</v>
      </c>
      <c r="G40" s="9" t="str">
        <f t="shared" si="1"/>
        <v>43951|Санкт-Петербург Юг</v>
      </c>
    </row>
    <row r="41" ht="14.25" customHeight="1">
      <c r="A41" s="18">
        <v>43951.0</v>
      </c>
      <c r="B41" s="19" t="s">
        <v>25</v>
      </c>
      <c r="C41" s="19">
        <v>10.0</v>
      </c>
      <c r="D41" s="19">
        <v>448.0</v>
      </c>
      <c r="E41" s="19">
        <v>376.0</v>
      </c>
      <c r="G41" s="9" t="str">
        <f t="shared" si="1"/>
        <v>43951|Тольятти</v>
      </c>
    </row>
    <row r="42" ht="14.25" customHeight="1">
      <c r="A42" s="18">
        <v>43952.0</v>
      </c>
      <c r="B42" s="19" t="s">
        <v>20</v>
      </c>
      <c r="C42" s="19">
        <v>36.0</v>
      </c>
      <c r="D42" s="19">
        <v>5457.0</v>
      </c>
      <c r="E42" s="19">
        <v>4916.0</v>
      </c>
      <c r="G42" s="9" t="str">
        <f t="shared" si="1"/>
        <v>43952|Волгоград</v>
      </c>
    </row>
    <row r="43" ht="14.25" customHeight="1">
      <c r="A43" s="18">
        <v>43952.0</v>
      </c>
      <c r="B43" s="19" t="s">
        <v>17</v>
      </c>
      <c r="C43" s="19">
        <v>31.0</v>
      </c>
      <c r="D43" s="19">
        <v>6118.0</v>
      </c>
      <c r="E43" s="19">
        <v>5564.0</v>
      </c>
      <c r="G43" s="9" t="str">
        <f t="shared" si="1"/>
        <v>43952|Екатеринбург</v>
      </c>
    </row>
    <row r="44" ht="14.25" customHeight="1">
      <c r="A44" s="18">
        <v>43952.0</v>
      </c>
      <c r="B44" s="19" t="s">
        <v>19</v>
      </c>
      <c r="C44" s="19">
        <v>20.0</v>
      </c>
      <c r="D44" s="19">
        <v>2468.0</v>
      </c>
      <c r="E44" s="19">
        <v>2221.0</v>
      </c>
      <c r="G44" s="9" t="str">
        <f t="shared" si="1"/>
        <v>43952|Казань</v>
      </c>
    </row>
    <row r="45" ht="14.25" customHeight="1">
      <c r="A45" s="18">
        <v>43952.0</v>
      </c>
      <c r="B45" s="19" t="s">
        <v>10</v>
      </c>
      <c r="C45" s="19">
        <v>18.0</v>
      </c>
      <c r="D45" s="19">
        <v>1826.0</v>
      </c>
      <c r="E45" s="19">
        <v>1633.0</v>
      </c>
      <c r="G45" s="9" t="str">
        <f t="shared" si="1"/>
        <v>43952|Кемерово</v>
      </c>
    </row>
    <row r="46" ht="14.25" customHeight="1">
      <c r="A46" s="18">
        <v>43952.0</v>
      </c>
      <c r="B46" s="19" t="s">
        <v>22</v>
      </c>
      <c r="C46" s="19">
        <v>19.0</v>
      </c>
      <c r="D46" s="19">
        <v>1987.0</v>
      </c>
      <c r="E46" s="19">
        <v>1791.0</v>
      </c>
      <c r="G46" s="9" t="str">
        <f t="shared" si="1"/>
        <v>43952|Краснодар</v>
      </c>
    </row>
    <row r="47" ht="14.25" customHeight="1">
      <c r="A47" s="18">
        <v>43952.0</v>
      </c>
      <c r="B47" s="19" t="s">
        <v>13</v>
      </c>
      <c r="C47" s="19">
        <v>54.0</v>
      </c>
      <c r="D47" s="19">
        <v>14205.0</v>
      </c>
      <c r="E47" s="19">
        <v>13026.0</v>
      </c>
      <c r="G47" s="9" t="str">
        <f t="shared" si="1"/>
        <v>43952|Москва Восток</v>
      </c>
    </row>
    <row r="48" ht="14.25" customHeight="1">
      <c r="A48" s="18">
        <v>43952.0</v>
      </c>
      <c r="B48" s="19" t="s">
        <v>15</v>
      </c>
      <c r="C48" s="19">
        <v>59.0</v>
      </c>
      <c r="D48" s="19">
        <v>15222.0</v>
      </c>
      <c r="E48" s="19">
        <v>13873.0</v>
      </c>
      <c r="G48" s="9" t="str">
        <f t="shared" si="1"/>
        <v>43952|Москва Запад</v>
      </c>
    </row>
    <row r="49" ht="14.25" customHeight="1">
      <c r="A49" s="18">
        <v>43952.0</v>
      </c>
      <c r="B49" s="19" t="s">
        <v>21</v>
      </c>
      <c r="C49" s="19">
        <v>19.0</v>
      </c>
      <c r="D49" s="19">
        <v>1497.0</v>
      </c>
      <c r="E49" s="19">
        <v>1291.0</v>
      </c>
      <c r="G49" s="9" t="str">
        <f t="shared" si="1"/>
        <v>43952|Нижний Новгород</v>
      </c>
    </row>
    <row r="50" ht="14.25" customHeight="1">
      <c r="A50" s="18">
        <v>43952.0</v>
      </c>
      <c r="B50" s="19" t="s">
        <v>27</v>
      </c>
      <c r="C50" s="19">
        <v>15.0</v>
      </c>
      <c r="D50" s="19">
        <v>721.0</v>
      </c>
      <c r="E50" s="19">
        <v>625.0</v>
      </c>
      <c r="G50" s="9" t="str">
        <f t="shared" si="1"/>
        <v>43952|Новосибирск</v>
      </c>
    </row>
    <row r="51" ht="14.25" customHeight="1">
      <c r="A51" s="18">
        <v>43952.0</v>
      </c>
      <c r="B51" s="19" t="s">
        <v>26</v>
      </c>
      <c r="C51" s="19">
        <v>15.0</v>
      </c>
      <c r="D51" s="19">
        <v>996.0</v>
      </c>
      <c r="E51" s="19">
        <v>888.0</v>
      </c>
      <c r="G51" s="9" t="str">
        <f t="shared" si="1"/>
        <v>43952|Пермь</v>
      </c>
    </row>
    <row r="52" ht="14.25" customHeight="1">
      <c r="A52" s="18">
        <v>43952.0</v>
      </c>
      <c r="B52" s="19" t="s">
        <v>24</v>
      </c>
      <c r="C52" s="19">
        <v>15.0</v>
      </c>
      <c r="D52" s="19">
        <v>294.0</v>
      </c>
      <c r="E52" s="19">
        <v>225.0</v>
      </c>
      <c r="G52" s="9" t="str">
        <f t="shared" si="1"/>
        <v>43952|Ростов-на-Дону</v>
      </c>
    </row>
    <row r="53" ht="14.25" customHeight="1">
      <c r="A53" s="18">
        <v>43952.0</v>
      </c>
      <c r="B53" s="19" t="s">
        <v>16</v>
      </c>
      <c r="C53" s="19">
        <v>125.0</v>
      </c>
      <c r="D53" s="19">
        <v>20602.0</v>
      </c>
      <c r="E53" s="19">
        <v>18845.0</v>
      </c>
      <c r="G53" s="9" t="str">
        <f t="shared" si="1"/>
        <v>43952|Санкт-Петербург Север</v>
      </c>
    </row>
    <row r="54" ht="14.25" customHeight="1">
      <c r="A54" s="18">
        <v>43952.0</v>
      </c>
      <c r="B54" s="19" t="s">
        <v>18</v>
      </c>
      <c r="C54" s="19">
        <v>129.0</v>
      </c>
      <c r="D54" s="19">
        <v>17002.0</v>
      </c>
      <c r="E54" s="19">
        <v>15570.0</v>
      </c>
      <c r="G54" s="9" t="str">
        <f t="shared" si="1"/>
        <v>43952|Санкт-Петербург Юг</v>
      </c>
    </row>
    <row r="55" ht="14.25" customHeight="1">
      <c r="A55" s="18">
        <v>43952.0</v>
      </c>
      <c r="B55" s="19" t="s">
        <v>25</v>
      </c>
      <c r="C55" s="19">
        <v>10.0</v>
      </c>
      <c r="D55" s="19">
        <v>554.0</v>
      </c>
      <c r="E55" s="19">
        <v>472.0</v>
      </c>
      <c r="G55" s="9" t="str">
        <f t="shared" si="1"/>
        <v>43952|Тольятти</v>
      </c>
    </row>
    <row r="56" ht="14.25" customHeight="1">
      <c r="A56" s="18">
        <v>43953.0</v>
      </c>
      <c r="B56" s="19" t="s">
        <v>20</v>
      </c>
      <c r="C56" s="19">
        <v>36.0</v>
      </c>
      <c r="D56" s="19">
        <v>3442.0</v>
      </c>
      <c r="E56" s="19">
        <v>3147.0</v>
      </c>
      <c r="G56" s="9" t="str">
        <f t="shared" si="1"/>
        <v>43953|Волгоград</v>
      </c>
    </row>
    <row r="57" ht="14.25" customHeight="1">
      <c r="A57" s="18">
        <v>43953.0</v>
      </c>
      <c r="B57" s="19" t="s">
        <v>17</v>
      </c>
      <c r="C57" s="19">
        <v>31.0</v>
      </c>
      <c r="D57" s="19">
        <v>4157.0</v>
      </c>
      <c r="E57" s="19">
        <v>3823.0</v>
      </c>
      <c r="G57" s="9" t="str">
        <f t="shared" si="1"/>
        <v>43953|Екатеринбург</v>
      </c>
    </row>
    <row r="58" ht="14.25" customHeight="1">
      <c r="A58" s="18">
        <v>43953.0</v>
      </c>
      <c r="B58" s="19" t="s">
        <v>19</v>
      </c>
      <c r="C58" s="19">
        <v>20.0</v>
      </c>
      <c r="D58" s="19">
        <v>1613.0</v>
      </c>
      <c r="E58" s="19">
        <v>1457.0</v>
      </c>
      <c r="G58" s="9" t="str">
        <f t="shared" si="1"/>
        <v>43953|Казань</v>
      </c>
    </row>
    <row r="59" ht="14.25" customHeight="1">
      <c r="A59" s="18">
        <v>43953.0</v>
      </c>
      <c r="B59" s="19" t="s">
        <v>10</v>
      </c>
      <c r="C59" s="19">
        <v>18.0</v>
      </c>
      <c r="D59" s="19">
        <v>1708.0</v>
      </c>
      <c r="E59" s="19">
        <v>1534.0</v>
      </c>
      <c r="G59" s="9" t="str">
        <f t="shared" si="1"/>
        <v>43953|Кемерово</v>
      </c>
    </row>
    <row r="60" ht="14.25" customHeight="1">
      <c r="A60" s="18">
        <v>43953.0</v>
      </c>
      <c r="B60" s="19" t="s">
        <v>22</v>
      </c>
      <c r="C60" s="19">
        <v>19.0</v>
      </c>
      <c r="D60" s="19">
        <v>1206.0</v>
      </c>
      <c r="E60" s="19">
        <v>1080.0</v>
      </c>
      <c r="G60" s="9" t="str">
        <f t="shared" si="1"/>
        <v>43953|Краснодар</v>
      </c>
    </row>
    <row r="61" ht="14.25" customHeight="1">
      <c r="A61" s="18">
        <v>43953.0</v>
      </c>
      <c r="B61" s="19" t="s">
        <v>13</v>
      </c>
      <c r="C61" s="19">
        <v>54.0</v>
      </c>
      <c r="D61" s="19">
        <v>11622.0</v>
      </c>
      <c r="E61" s="19">
        <v>10754.0</v>
      </c>
      <c r="G61" s="9" t="str">
        <f t="shared" si="1"/>
        <v>43953|Москва Восток</v>
      </c>
    </row>
    <row r="62" ht="14.25" customHeight="1">
      <c r="A62" s="18">
        <v>43953.0</v>
      </c>
      <c r="B62" s="19" t="s">
        <v>15</v>
      </c>
      <c r="C62" s="19">
        <v>59.0</v>
      </c>
      <c r="D62" s="19">
        <v>12429.0</v>
      </c>
      <c r="E62" s="19">
        <v>11477.0</v>
      </c>
      <c r="G62" s="9" t="str">
        <f t="shared" si="1"/>
        <v>43953|Москва Запад</v>
      </c>
    </row>
    <row r="63" ht="14.25" customHeight="1">
      <c r="A63" s="18">
        <v>43953.0</v>
      </c>
      <c r="B63" s="19" t="s">
        <v>21</v>
      </c>
      <c r="C63" s="19">
        <v>19.0</v>
      </c>
      <c r="D63" s="19">
        <v>1217.0</v>
      </c>
      <c r="E63" s="19">
        <v>1048.0</v>
      </c>
      <c r="G63" s="9" t="str">
        <f t="shared" si="1"/>
        <v>43953|Нижний Новгород</v>
      </c>
    </row>
    <row r="64" ht="14.25" customHeight="1">
      <c r="A64" s="18">
        <v>43953.0</v>
      </c>
      <c r="B64" s="19" t="s">
        <v>27</v>
      </c>
      <c r="C64" s="19">
        <v>15.0</v>
      </c>
      <c r="D64" s="19">
        <v>567.0</v>
      </c>
      <c r="E64" s="19">
        <v>493.0</v>
      </c>
      <c r="G64" s="9" t="str">
        <f t="shared" si="1"/>
        <v>43953|Новосибирск</v>
      </c>
    </row>
    <row r="65" ht="14.25" customHeight="1">
      <c r="A65" s="18">
        <v>43953.0</v>
      </c>
      <c r="B65" s="19" t="s">
        <v>26</v>
      </c>
      <c r="C65" s="19">
        <v>15.0</v>
      </c>
      <c r="D65" s="19">
        <v>751.0</v>
      </c>
      <c r="E65" s="19">
        <v>651.0</v>
      </c>
      <c r="G65" s="9" t="str">
        <f t="shared" si="1"/>
        <v>43953|Пермь</v>
      </c>
    </row>
    <row r="66" ht="14.25" customHeight="1">
      <c r="A66" s="18">
        <v>43953.0</v>
      </c>
      <c r="B66" s="19" t="s">
        <v>24</v>
      </c>
      <c r="C66" s="19">
        <v>15.0</v>
      </c>
      <c r="D66" s="19">
        <v>274.0</v>
      </c>
      <c r="E66" s="19">
        <v>203.0</v>
      </c>
      <c r="G66" s="9" t="str">
        <f t="shared" si="1"/>
        <v>43953|Ростов-на-Дону</v>
      </c>
    </row>
    <row r="67" ht="14.25" customHeight="1">
      <c r="A67" s="18">
        <v>43953.0</v>
      </c>
      <c r="B67" s="19" t="s">
        <v>16</v>
      </c>
      <c r="C67" s="19">
        <v>125.0</v>
      </c>
      <c r="D67" s="19">
        <v>16932.0</v>
      </c>
      <c r="E67" s="19">
        <v>15601.0</v>
      </c>
      <c r="G67" s="9" t="str">
        <f t="shared" si="1"/>
        <v>43953|Санкт-Петербург Север</v>
      </c>
    </row>
    <row r="68" ht="14.25" customHeight="1">
      <c r="A68" s="18">
        <v>43953.0</v>
      </c>
      <c r="B68" s="19" t="s">
        <v>18</v>
      </c>
      <c r="C68" s="19">
        <v>129.0</v>
      </c>
      <c r="D68" s="19">
        <v>14009.0</v>
      </c>
      <c r="E68" s="19">
        <v>12920.0</v>
      </c>
      <c r="G68" s="9" t="str">
        <f t="shared" si="1"/>
        <v>43953|Санкт-Петербург Юг</v>
      </c>
    </row>
    <row r="69" ht="14.25" customHeight="1">
      <c r="A69" s="18">
        <v>43953.0</v>
      </c>
      <c r="B69" s="19" t="s">
        <v>25</v>
      </c>
      <c r="C69" s="19">
        <v>10.0</v>
      </c>
      <c r="D69" s="19">
        <v>416.0</v>
      </c>
      <c r="E69" s="19">
        <v>341.0</v>
      </c>
      <c r="G69" s="9" t="str">
        <f t="shared" si="1"/>
        <v>43953|Тольятти</v>
      </c>
    </row>
    <row r="70" ht="14.25" customHeight="1">
      <c r="A70" s="18">
        <v>43954.0</v>
      </c>
      <c r="B70" s="19" t="s">
        <v>20</v>
      </c>
      <c r="C70" s="19">
        <v>36.0</v>
      </c>
      <c r="D70" s="19">
        <v>4751.0</v>
      </c>
      <c r="E70" s="19">
        <v>4370.0</v>
      </c>
      <c r="G70" s="9" t="str">
        <f t="shared" si="1"/>
        <v>43954|Волгоград</v>
      </c>
    </row>
    <row r="71" ht="14.25" customHeight="1">
      <c r="A71" s="18">
        <v>43954.0</v>
      </c>
      <c r="B71" s="19" t="s">
        <v>17</v>
      </c>
      <c r="C71" s="19">
        <v>31.0</v>
      </c>
      <c r="D71" s="19">
        <v>5155.0</v>
      </c>
      <c r="E71" s="19">
        <v>4762.0</v>
      </c>
      <c r="G71" s="9" t="str">
        <f t="shared" si="1"/>
        <v>43954|Екатеринбург</v>
      </c>
    </row>
    <row r="72" ht="14.25" customHeight="1">
      <c r="A72" s="18">
        <v>43954.0</v>
      </c>
      <c r="B72" s="19" t="s">
        <v>19</v>
      </c>
      <c r="C72" s="19">
        <v>20.0</v>
      </c>
      <c r="D72" s="19">
        <v>1716.0</v>
      </c>
      <c r="E72" s="19">
        <v>1561.0</v>
      </c>
      <c r="G72" s="9" t="str">
        <f t="shared" si="1"/>
        <v>43954|Казань</v>
      </c>
    </row>
    <row r="73" ht="14.25" customHeight="1">
      <c r="A73" s="18">
        <v>43954.0</v>
      </c>
      <c r="B73" s="19" t="s">
        <v>10</v>
      </c>
      <c r="C73" s="19">
        <v>20.0</v>
      </c>
      <c r="D73" s="19">
        <v>1520.0</v>
      </c>
      <c r="E73" s="19">
        <v>1373.0</v>
      </c>
      <c r="G73" s="9" t="str">
        <f t="shared" si="1"/>
        <v>43954|Кемерово</v>
      </c>
    </row>
    <row r="74" ht="14.25" customHeight="1">
      <c r="A74" s="18">
        <v>43954.0</v>
      </c>
      <c r="B74" s="19" t="s">
        <v>22</v>
      </c>
      <c r="C74" s="19">
        <v>19.0</v>
      </c>
      <c r="D74" s="19">
        <v>1314.0</v>
      </c>
      <c r="E74" s="19">
        <v>1192.0</v>
      </c>
      <c r="G74" s="9" t="str">
        <f t="shared" si="1"/>
        <v>43954|Краснодар</v>
      </c>
    </row>
    <row r="75" ht="14.25" customHeight="1">
      <c r="A75" s="18">
        <v>43954.0</v>
      </c>
      <c r="B75" s="19" t="s">
        <v>13</v>
      </c>
      <c r="C75" s="19">
        <v>54.0</v>
      </c>
      <c r="D75" s="19">
        <v>14823.0</v>
      </c>
      <c r="E75" s="19">
        <v>13751.0</v>
      </c>
      <c r="G75" s="9" t="str">
        <f t="shared" si="1"/>
        <v>43954|Москва Восток</v>
      </c>
    </row>
    <row r="76" ht="14.25" customHeight="1">
      <c r="A76" s="18">
        <v>43954.0</v>
      </c>
      <c r="B76" s="19" t="s">
        <v>15</v>
      </c>
      <c r="C76" s="19">
        <v>59.0</v>
      </c>
      <c r="D76" s="19">
        <v>15277.0</v>
      </c>
      <c r="E76" s="19">
        <v>14163.0</v>
      </c>
      <c r="G76" s="9" t="str">
        <f t="shared" si="1"/>
        <v>43954|Москва Запад</v>
      </c>
    </row>
    <row r="77" ht="14.25" customHeight="1">
      <c r="A77" s="18">
        <v>43954.0</v>
      </c>
      <c r="B77" s="19" t="s">
        <v>21</v>
      </c>
      <c r="C77" s="19">
        <v>19.0</v>
      </c>
      <c r="D77" s="19">
        <v>1402.0</v>
      </c>
      <c r="E77" s="19">
        <v>1234.0</v>
      </c>
      <c r="G77" s="9" t="str">
        <f t="shared" si="1"/>
        <v>43954|Нижний Новгород</v>
      </c>
    </row>
    <row r="78" ht="14.25" customHeight="1">
      <c r="A78" s="18">
        <v>43954.0</v>
      </c>
      <c r="B78" s="19" t="s">
        <v>27</v>
      </c>
      <c r="C78" s="19">
        <v>15.0</v>
      </c>
      <c r="D78" s="19">
        <v>585.0</v>
      </c>
      <c r="E78" s="19">
        <v>502.0</v>
      </c>
      <c r="G78" s="9" t="str">
        <f t="shared" si="1"/>
        <v>43954|Новосибирск</v>
      </c>
    </row>
    <row r="79" ht="14.25" customHeight="1">
      <c r="A79" s="18">
        <v>43954.0</v>
      </c>
      <c r="B79" s="19" t="s">
        <v>26</v>
      </c>
      <c r="C79" s="19">
        <v>15.0</v>
      </c>
      <c r="D79" s="19">
        <v>784.0</v>
      </c>
      <c r="E79" s="19">
        <v>696.0</v>
      </c>
      <c r="G79" s="9" t="str">
        <f t="shared" si="1"/>
        <v>43954|Пермь</v>
      </c>
    </row>
    <row r="80" ht="14.25" customHeight="1">
      <c r="A80" s="18">
        <v>43954.0</v>
      </c>
      <c r="B80" s="19" t="s">
        <v>24</v>
      </c>
      <c r="C80" s="19">
        <v>15.0</v>
      </c>
      <c r="D80" s="19">
        <v>455.0</v>
      </c>
      <c r="E80" s="19">
        <v>384.0</v>
      </c>
      <c r="G80" s="9" t="str">
        <f t="shared" si="1"/>
        <v>43954|Ростов-на-Дону</v>
      </c>
    </row>
    <row r="81" ht="14.25" customHeight="1">
      <c r="A81" s="18">
        <v>43954.0</v>
      </c>
      <c r="B81" s="19" t="s">
        <v>16</v>
      </c>
      <c r="C81" s="19">
        <v>125.0</v>
      </c>
      <c r="D81" s="19">
        <v>18861.0</v>
      </c>
      <c r="E81" s="19">
        <v>17420.0</v>
      </c>
      <c r="G81" s="9" t="str">
        <f t="shared" si="1"/>
        <v>43954|Санкт-Петербург Север</v>
      </c>
    </row>
    <row r="82" ht="14.25" customHeight="1">
      <c r="A82" s="18">
        <v>43954.0</v>
      </c>
      <c r="B82" s="19" t="s">
        <v>18</v>
      </c>
      <c r="C82" s="19">
        <v>129.0</v>
      </c>
      <c r="D82" s="19">
        <v>15778.0</v>
      </c>
      <c r="E82" s="19">
        <v>14624.0</v>
      </c>
      <c r="G82" s="9" t="str">
        <f t="shared" si="1"/>
        <v>43954|Санкт-Петербург Юг</v>
      </c>
    </row>
    <row r="83" ht="14.25" customHeight="1">
      <c r="A83" s="18">
        <v>43954.0</v>
      </c>
      <c r="B83" s="19" t="s">
        <v>25</v>
      </c>
      <c r="C83" s="19">
        <v>10.0</v>
      </c>
      <c r="D83" s="19">
        <v>402.0</v>
      </c>
      <c r="E83" s="19">
        <v>333.0</v>
      </c>
      <c r="G83" s="9" t="str">
        <f t="shared" si="1"/>
        <v>43954|Тольятти</v>
      </c>
    </row>
    <row r="84" ht="14.25" customHeight="1">
      <c r="A84" s="18">
        <v>43955.0</v>
      </c>
      <c r="B84" s="19" t="s">
        <v>20</v>
      </c>
      <c r="C84" s="19">
        <v>36.0</v>
      </c>
      <c r="D84" s="19">
        <v>4508.0</v>
      </c>
      <c r="E84" s="19">
        <v>4149.0</v>
      </c>
      <c r="G84" s="9" t="str">
        <f t="shared" si="1"/>
        <v>43955|Волгоград</v>
      </c>
    </row>
    <row r="85" ht="14.25" customHeight="1">
      <c r="A85" s="18">
        <v>43955.0</v>
      </c>
      <c r="B85" s="19" t="s">
        <v>17</v>
      </c>
      <c r="C85" s="19">
        <v>31.0</v>
      </c>
      <c r="D85" s="19">
        <v>4968.0</v>
      </c>
      <c r="E85" s="19">
        <v>4596.0</v>
      </c>
      <c r="G85" s="9" t="str">
        <f t="shared" si="1"/>
        <v>43955|Екатеринбург</v>
      </c>
    </row>
    <row r="86" ht="14.25" customHeight="1">
      <c r="A86" s="18">
        <v>43955.0</v>
      </c>
      <c r="B86" s="19" t="s">
        <v>19</v>
      </c>
      <c r="C86" s="19">
        <v>20.0</v>
      </c>
      <c r="D86" s="19">
        <v>1804.0</v>
      </c>
      <c r="E86" s="19">
        <v>1638.0</v>
      </c>
      <c r="G86" s="9" t="str">
        <f t="shared" si="1"/>
        <v>43955|Казань</v>
      </c>
    </row>
    <row r="87" ht="14.25" customHeight="1">
      <c r="A87" s="18">
        <v>43955.0</v>
      </c>
      <c r="B87" s="19" t="s">
        <v>10</v>
      </c>
      <c r="C87" s="19">
        <v>20.0</v>
      </c>
      <c r="D87" s="19">
        <v>1519.0</v>
      </c>
      <c r="E87" s="19">
        <v>1372.0</v>
      </c>
      <c r="G87" s="9" t="str">
        <f t="shared" si="1"/>
        <v>43955|Кемерово</v>
      </c>
    </row>
    <row r="88" ht="14.25" customHeight="1">
      <c r="A88" s="18">
        <v>43955.0</v>
      </c>
      <c r="B88" s="19" t="s">
        <v>22</v>
      </c>
      <c r="C88" s="19">
        <v>19.0</v>
      </c>
      <c r="D88" s="19">
        <v>1479.0</v>
      </c>
      <c r="E88" s="19">
        <v>1346.0</v>
      </c>
      <c r="G88" s="9" t="str">
        <f t="shared" si="1"/>
        <v>43955|Краснодар</v>
      </c>
    </row>
    <row r="89" ht="14.25" customHeight="1">
      <c r="A89" s="18">
        <v>43955.0</v>
      </c>
      <c r="B89" s="19" t="s">
        <v>13</v>
      </c>
      <c r="C89" s="19">
        <v>54.0</v>
      </c>
      <c r="D89" s="19">
        <v>13606.0</v>
      </c>
      <c r="E89" s="19">
        <v>12697.0</v>
      </c>
      <c r="G89" s="9" t="str">
        <f t="shared" si="1"/>
        <v>43955|Москва Восток</v>
      </c>
    </row>
    <row r="90" ht="14.25" customHeight="1">
      <c r="A90" s="18">
        <v>43955.0</v>
      </c>
      <c r="B90" s="19" t="s">
        <v>15</v>
      </c>
      <c r="C90" s="19">
        <v>59.0</v>
      </c>
      <c r="D90" s="19">
        <v>14423.0</v>
      </c>
      <c r="E90" s="19">
        <v>13432.0</v>
      </c>
      <c r="G90" s="9" t="str">
        <f t="shared" si="1"/>
        <v>43955|Москва Запад</v>
      </c>
    </row>
    <row r="91" ht="14.25" customHeight="1">
      <c r="A91" s="18">
        <v>43955.0</v>
      </c>
      <c r="B91" s="19" t="s">
        <v>21</v>
      </c>
      <c r="C91" s="19">
        <v>19.0</v>
      </c>
      <c r="D91" s="19">
        <v>1582.0</v>
      </c>
      <c r="E91" s="19">
        <v>1403.0</v>
      </c>
      <c r="G91" s="9" t="str">
        <f t="shared" si="1"/>
        <v>43955|Нижний Новгород</v>
      </c>
    </row>
    <row r="92" ht="14.25" customHeight="1">
      <c r="A92" s="18">
        <v>43955.0</v>
      </c>
      <c r="B92" s="19" t="s">
        <v>27</v>
      </c>
      <c r="C92" s="19">
        <v>15.0</v>
      </c>
      <c r="D92" s="19">
        <v>622.0</v>
      </c>
      <c r="E92" s="19">
        <v>538.0</v>
      </c>
      <c r="G92" s="9" t="str">
        <f t="shared" si="1"/>
        <v>43955|Новосибирск</v>
      </c>
    </row>
    <row r="93" ht="14.25" customHeight="1">
      <c r="A93" s="18">
        <v>43955.0</v>
      </c>
      <c r="B93" s="19" t="s">
        <v>26</v>
      </c>
      <c r="C93" s="19">
        <v>15.0</v>
      </c>
      <c r="D93" s="19">
        <v>750.0</v>
      </c>
      <c r="E93" s="19">
        <v>647.0</v>
      </c>
      <c r="G93" s="9" t="str">
        <f t="shared" si="1"/>
        <v>43955|Пермь</v>
      </c>
    </row>
    <row r="94" ht="14.25" customHeight="1">
      <c r="A94" s="18">
        <v>43955.0</v>
      </c>
      <c r="B94" s="19" t="s">
        <v>24</v>
      </c>
      <c r="C94" s="19">
        <v>15.0</v>
      </c>
      <c r="D94" s="19">
        <v>390.0</v>
      </c>
      <c r="E94" s="19">
        <v>315.0</v>
      </c>
      <c r="G94" s="9" t="str">
        <f t="shared" si="1"/>
        <v>43955|Ростов-на-Дону</v>
      </c>
    </row>
    <row r="95" ht="14.25" customHeight="1">
      <c r="A95" s="18">
        <v>43955.0</v>
      </c>
      <c r="B95" s="19" t="s">
        <v>16</v>
      </c>
      <c r="C95" s="19">
        <v>125.0</v>
      </c>
      <c r="D95" s="19">
        <v>20495.0</v>
      </c>
      <c r="E95" s="19">
        <v>18964.0</v>
      </c>
      <c r="G95" s="9" t="str">
        <f t="shared" si="1"/>
        <v>43955|Санкт-Петербург Север</v>
      </c>
    </row>
    <row r="96" ht="14.25" customHeight="1">
      <c r="A96" s="18">
        <v>43955.0</v>
      </c>
      <c r="B96" s="19" t="s">
        <v>18</v>
      </c>
      <c r="C96" s="19">
        <v>129.0</v>
      </c>
      <c r="D96" s="19">
        <v>16525.0</v>
      </c>
      <c r="E96" s="19">
        <v>15310.0</v>
      </c>
      <c r="G96" s="9" t="str">
        <f t="shared" si="1"/>
        <v>43955|Санкт-Петербург Юг</v>
      </c>
    </row>
    <row r="97" ht="14.25" customHeight="1">
      <c r="A97" s="18">
        <v>43955.0</v>
      </c>
      <c r="B97" s="19" t="s">
        <v>25</v>
      </c>
      <c r="C97" s="19">
        <v>10.0</v>
      </c>
      <c r="D97" s="19">
        <v>462.0</v>
      </c>
      <c r="E97" s="19">
        <v>396.0</v>
      </c>
      <c r="G97" s="9" t="str">
        <f t="shared" si="1"/>
        <v>43955|Тольятти</v>
      </c>
    </row>
    <row r="98" ht="14.25" customHeight="1">
      <c r="A98" s="18">
        <v>43956.0</v>
      </c>
      <c r="B98" s="19" t="s">
        <v>20</v>
      </c>
      <c r="C98" s="19">
        <v>36.0</v>
      </c>
      <c r="D98" s="19">
        <v>4575.0</v>
      </c>
      <c r="E98" s="19">
        <v>4206.0</v>
      </c>
      <c r="G98" s="9" t="str">
        <f t="shared" si="1"/>
        <v>43956|Волгоград</v>
      </c>
    </row>
    <row r="99" ht="14.25" customHeight="1">
      <c r="A99" s="18">
        <v>43956.0</v>
      </c>
      <c r="B99" s="19" t="s">
        <v>17</v>
      </c>
      <c r="C99" s="19">
        <v>31.0</v>
      </c>
      <c r="D99" s="19">
        <v>5188.0</v>
      </c>
      <c r="E99" s="19">
        <v>4800.0</v>
      </c>
      <c r="G99" s="9" t="str">
        <f t="shared" si="1"/>
        <v>43956|Екатеринбург</v>
      </c>
    </row>
    <row r="100" ht="14.25" customHeight="1">
      <c r="A100" s="18">
        <v>43956.0</v>
      </c>
      <c r="B100" s="19" t="s">
        <v>19</v>
      </c>
      <c r="C100" s="19">
        <v>20.0</v>
      </c>
      <c r="D100" s="19">
        <v>1757.0</v>
      </c>
      <c r="E100" s="19">
        <v>1596.0</v>
      </c>
      <c r="G100" s="9" t="str">
        <f t="shared" si="1"/>
        <v>43956|Казань</v>
      </c>
    </row>
    <row r="101" ht="14.25" customHeight="1">
      <c r="A101" s="18">
        <v>43956.0</v>
      </c>
      <c r="B101" s="19" t="s">
        <v>10</v>
      </c>
      <c r="C101" s="19">
        <v>20.0</v>
      </c>
      <c r="D101" s="19">
        <v>1773.0</v>
      </c>
      <c r="E101" s="19">
        <v>1604.0</v>
      </c>
      <c r="G101" s="9" t="str">
        <f t="shared" si="1"/>
        <v>43956|Кемерово</v>
      </c>
    </row>
    <row r="102" ht="14.25" customHeight="1">
      <c r="A102" s="18">
        <v>43956.0</v>
      </c>
      <c r="B102" s="19" t="s">
        <v>22</v>
      </c>
      <c r="C102" s="19">
        <v>19.0</v>
      </c>
      <c r="D102" s="19">
        <v>1622.0</v>
      </c>
      <c r="E102" s="19">
        <v>1482.0</v>
      </c>
      <c r="G102" s="9" t="str">
        <f t="shared" si="1"/>
        <v>43956|Краснодар</v>
      </c>
    </row>
    <row r="103" ht="14.25" customHeight="1">
      <c r="A103" s="18">
        <v>43956.0</v>
      </c>
      <c r="B103" s="19" t="s">
        <v>13</v>
      </c>
      <c r="C103" s="19">
        <v>54.0</v>
      </c>
      <c r="D103" s="19">
        <v>12775.0</v>
      </c>
      <c r="E103" s="19">
        <v>11887.0</v>
      </c>
      <c r="G103" s="9" t="str">
        <f t="shared" si="1"/>
        <v>43956|Москва Восток</v>
      </c>
    </row>
    <row r="104" ht="14.25" customHeight="1">
      <c r="A104" s="18">
        <v>43956.0</v>
      </c>
      <c r="B104" s="19" t="s">
        <v>15</v>
      </c>
      <c r="C104" s="19">
        <v>59.0</v>
      </c>
      <c r="D104" s="19">
        <v>13469.0</v>
      </c>
      <c r="E104" s="19">
        <v>12486.0</v>
      </c>
      <c r="G104" s="9" t="str">
        <f t="shared" si="1"/>
        <v>43956|Москва Запад</v>
      </c>
    </row>
    <row r="105" ht="14.25" customHeight="1">
      <c r="A105" s="18">
        <v>43956.0</v>
      </c>
      <c r="B105" s="19" t="s">
        <v>21</v>
      </c>
      <c r="C105" s="19">
        <v>19.0</v>
      </c>
      <c r="D105" s="19">
        <v>1417.0</v>
      </c>
      <c r="E105" s="19">
        <v>1245.0</v>
      </c>
      <c r="G105" s="9" t="str">
        <f t="shared" si="1"/>
        <v>43956|Нижний Новгород</v>
      </c>
    </row>
    <row r="106" ht="14.25" customHeight="1">
      <c r="A106" s="18">
        <v>43956.0</v>
      </c>
      <c r="B106" s="19" t="s">
        <v>27</v>
      </c>
      <c r="C106" s="19">
        <v>15.0</v>
      </c>
      <c r="D106" s="19">
        <v>750.0</v>
      </c>
      <c r="E106" s="19">
        <v>658.0</v>
      </c>
      <c r="G106" s="9" t="str">
        <f t="shared" si="1"/>
        <v>43956|Новосибирск</v>
      </c>
    </row>
    <row r="107" ht="14.25" customHeight="1">
      <c r="A107" s="18">
        <v>43956.0</v>
      </c>
      <c r="B107" s="19" t="s">
        <v>26</v>
      </c>
      <c r="C107" s="19">
        <v>15.0</v>
      </c>
      <c r="D107" s="19">
        <v>922.0</v>
      </c>
      <c r="E107" s="19">
        <v>823.0</v>
      </c>
      <c r="G107" s="9" t="str">
        <f t="shared" si="1"/>
        <v>43956|Пермь</v>
      </c>
    </row>
    <row r="108" ht="14.25" customHeight="1">
      <c r="A108" s="18">
        <v>43956.0</v>
      </c>
      <c r="B108" s="19" t="s">
        <v>24</v>
      </c>
      <c r="C108" s="19">
        <v>15.0</v>
      </c>
      <c r="D108" s="19">
        <v>455.0</v>
      </c>
      <c r="E108" s="19">
        <v>381.0</v>
      </c>
      <c r="G108" s="9" t="str">
        <f t="shared" si="1"/>
        <v>43956|Ростов-на-Дону</v>
      </c>
    </row>
    <row r="109" ht="14.25" customHeight="1">
      <c r="A109" s="18">
        <v>43956.0</v>
      </c>
      <c r="B109" s="19" t="s">
        <v>16</v>
      </c>
      <c r="C109" s="19">
        <v>125.0</v>
      </c>
      <c r="D109" s="19">
        <v>18944.0</v>
      </c>
      <c r="E109" s="19">
        <v>17541.0</v>
      </c>
      <c r="G109" s="9" t="str">
        <f t="shared" si="1"/>
        <v>43956|Санкт-Петербург Север</v>
      </c>
    </row>
    <row r="110" ht="14.25" customHeight="1">
      <c r="A110" s="18">
        <v>43956.0</v>
      </c>
      <c r="B110" s="19" t="s">
        <v>18</v>
      </c>
      <c r="C110" s="19">
        <v>129.0</v>
      </c>
      <c r="D110" s="19">
        <v>15665.0</v>
      </c>
      <c r="E110" s="19">
        <v>14501.0</v>
      </c>
      <c r="G110" s="9" t="str">
        <f t="shared" si="1"/>
        <v>43956|Санкт-Петербург Юг</v>
      </c>
    </row>
    <row r="111" ht="14.25" customHeight="1">
      <c r="A111" s="18">
        <v>43956.0</v>
      </c>
      <c r="B111" s="19" t="s">
        <v>25</v>
      </c>
      <c r="C111" s="19">
        <v>10.0</v>
      </c>
      <c r="D111" s="19">
        <v>511.0</v>
      </c>
      <c r="E111" s="19">
        <v>437.0</v>
      </c>
      <c r="G111" s="9" t="str">
        <f t="shared" si="1"/>
        <v>43956|Тольятти</v>
      </c>
    </row>
    <row r="112" ht="14.25" customHeight="1">
      <c r="A112" s="18">
        <v>43957.0</v>
      </c>
      <c r="B112" s="19" t="s">
        <v>20</v>
      </c>
      <c r="C112" s="19">
        <v>36.0</v>
      </c>
      <c r="D112" s="19">
        <v>4384.0</v>
      </c>
      <c r="E112" s="19">
        <v>4025.0</v>
      </c>
      <c r="G112" s="9" t="str">
        <f t="shared" si="1"/>
        <v>43957|Волгоград</v>
      </c>
    </row>
    <row r="113" ht="14.25" customHeight="1">
      <c r="A113" s="18">
        <v>43957.0</v>
      </c>
      <c r="B113" s="19" t="s">
        <v>17</v>
      </c>
      <c r="C113" s="19">
        <v>31.0</v>
      </c>
      <c r="D113" s="19">
        <v>4709.0</v>
      </c>
      <c r="E113" s="19">
        <v>4348.0</v>
      </c>
      <c r="G113" s="9" t="str">
        <f t="shared" si="1"/>
        <v>43957|Екатеринбург</v>
      </c>
    </row>
    <row r="114" ht="14.25" customHeight="1">
      <c r="A114" s="18">
        <v>43957.0</v>
      </c>
      <c r="B114" s="19" t="s">
        <v>19</v>
      </c>
      <c r="C114" s="19">
        <v>20.0</v>
      </c>
      <c r="D114" s="19">
        <v>1747.0</v>
      </c>
      <c r="E114" s="19">
        <v>1570.0</v>
      </c>
      <c r="G114" s="9" t="str">
        <f t="shared" si="1"/>
        <v>43957|Казань</v>
      </c>
    </row>
    <row r="115" ht="14.25" customHeight="1">
      <c r="A115" s="18">
        <v>43957.0</v>
      </c>
      <c r="B115" s="19" t="s">
        <v>10</v>
      </c>
      <c r="C115" s="19">
        <v>20.0</v>
      </c>
      <c r="D115" s="19">
        <v>1784.0</v>
      </c>
      <c r="E115" s="19">
        <v>1632.0</v>
      </c>
      <c r="G115" s="9" t="str">
        <f t="shared" si="1"/>
        <v>43957|Кемерово</v>
      </c>
    </row>
    <row r="116" ht="14.25" customHeight="1">
      <c r="A116" s="18">
        <v>43957.0</v>
      </c>
      <c r="B116" s="19" t="s">
        <v>22</v>
      </c>
      <c r="C116" s="19">
        <v>19.0</v>
      </c>
      <c r="D116" s="19">
        <v>1509.0</v>
      </c>
      <c r="E116" s="19">
        <v>1374.0</v>
      </c>
      <c r="G116" s="9" t="str">
        <f t="shared" si="1"/>
        <v>43957|Краснодар</v>
      </c>
    </row>
    <row r="117" ht="14.25" customHeight="1">
      <c r="A117" s="18">
        <v>43957.0</v>
      </c>
      <c r="B117" s="19" t="s">
        <v>13</v>
      </c>
      <c r="C117" s="19">
        <v>54.0</v>
      </c>
      <c r="D117" s="19">
        <v>13406.0</v>
      </c>
      <c r="E117" s="19">
        <v>12518.0</v>
      </c>
      <c r="G117" s="9" t="str">
        <f t="shared" si="1"/>
        <v>43957|Москва Восток</v>
      </c>
    </row>
    <row r="118" ht="14.25" customHeight="1">
      <c r="A118" s="18">
        <v>43957.0</v>
      </c>
      <c r="B118" s="19" t="s">
        <v>15</v>
      </c>
      <c r="C118" s="19">
        <v>59.0</v>
      </c>
      <c r="D118" s="19">
        <v>14103.0</v>
      </c>
      <c r="E118" s="19">
        <v>13118.0</v>
      </c>
      <c r="G118" s="9" t="str">
        <f t="shared" si="1"/>
        <v>43957|Москва Запад</v>
      </c>
    </row>
    <row r="119" ht="14.25" customHeight="1">
      <c r="A119" s="18">
        <v>43957.0</v>
      </c>
      <c r="B119" s="19" t="s">
        <v>21</v>
      </c>
      <c r="C119" s="19">
        <v>19.0</v>
      </c>
      <c r="D119" s="19">
        <v>1499.0</v>
      </c>
      <c r="E119" s="19">
        <v>1323.0</v>
      </c>
      <c r="G119" s="9" t="str">
        <f t="shared" si="1"/>
        <v>43957|Нижний Новгород</v>
      </c>
    </row>
    <row r="120" ht="14.25" customHeight="1">
      <c r="A120" s="18">
        <v>43957.0</v>
      </c>
      <c r="B120" s="19" t="s">
        <v>27</v>
      </c>
      <c r="C120" s="19">
        <v>15.0</v>
      </c>
      <c r="D120" s="19">
        <v>701.0</v>
      </c>
      <c r="E120" s="19">
        <v>611.0</v>
      </c>
      <c r="G120" s="9" t="str">
        <f t="shared" si="1"/>
        <v>43957|Новосибирск</v>
      </c>
    </row>
    <row r="121" ht="14.25" customHeight="1">
      <c r="A121" s="18">
        <v>43957.0</v>
      </c>
      <c r="B121" s="19" t="s">
        <v>26</v>
      </c>
      <c r="C121" s="19">
        <v>15.0</v>
      </c>
      <c r="D121" s="19">
        <v>839.0</v>
      </c>
      <c r="E121" s="19">
        <v>733.0</v>
      </c>
      <c r="G121" s="9" t="str">
        <f t="shared" si="1"/>
        <v>43957|Пермь</v>
      </c>
    </row>
    <row r="122" ht="14.25" customHeight="1">
      <c r="A122" s="18">
        <v>43957.0</v>
      </c>
      <c r="B122" s="19" t="s">
        <v>24</v>
      </c>
      <c r="C122" s="19">
        <v>15.0</v>
      </c>
      <c r="D122" s="19">
        <v>467.0</v>
      </c>
      <c r="E122" s="19">
        <v>389.0</v>
      </c>
      <c r="G122" s="9" t="str">
        <f t="shared" si="1"/>
        <v>43957|Ростов-на-Дону</v>
      </c>
    </row>
    <row r="123" ht="14.25" customHeight="1">
      <c r="A123" s="18">
        <v>43957.0</v>
      </c>
      <c r="B123" s="19" t="s">
        <v>16</v>
      </c>
      <c r="C123" s="19">
        <v>125.0</v>
      </c>
      <c r="D123" s="19">
        <v>20218.0</v>
      </c>
      <c r="E123" s="19">
        <v>18647.0</v>
      </c>
      <c r="G123" s="9" t="str">
        <f t="shared" si="1"/>
        <v>43957|Санкт-Петербург Север</v>
      </c>
    </row>
    <row r="124" ht="14.25" customHeight="1">
      <c r="A124" s="18">
        <v>43957.0</v>
      </c>
      <c r="B124" s="19" t="s">
        <v>18</v>
      </c>
      <c r="C124" s="19">
        <v>129.0</v>
      </c>
      <c r="D124" s="19">
        <v>16376.0</v>
      </c>
      <c r="E124" s="19">
        <v>15197.0</v>
      </c>
      <c r="G124" s="9" t="str">
        <f t="shared" si="1"/>
        <v>43957|Санкт-Петербург Юг</v>
      </c>
    </row>
    <row r="125" ht="14.25" customHeight="1">
      <c r="A125" s="18">
        <v>43957.0</v>
      </c>
      <c r="B125" s="19" t="s">
        <v>25</v>
      </c>
      <c r="C125" s="19">
        <v>10.0</v>
      </c>
      <c r="D125" s="19">
        <v>465.0</v>
      </c>
      <c r="E125" s="19">
        <v>390.0</v>
      </c>
      <c r="G125" s="9" t="str">
        <f t="shared" si="1"/>
        <v>43957|Тольятти</v>
      </c>
    </row>
    <row r="126" ht="14.25" customHeight="1">
      <c r="A126" s="18">
        <v>43958.0</v>
      </c>
      <c r="B126" s="19" t="s">
        <v>20</v>
      </c>
      <c r="C126" s="19">
        <v>36.0</v>
      </c>
      <c r="D126" s="19">
        <v>4826.0</v>
      </c>
      <c r="E126" s="19">
        <v>4426.0</v>
      </c>
      <c r="G126" s="9" t="str">
        <f t="shared" si="1"/>
        <v>43958|Волгоград</v>
      </c>
    </row>
    <row r="127" ht="14.25" customHeight="1">
      <c r="A127" s="18">
        <v>43958.0</v>
      </c>
      <c r="B127" s="19" t="s">
        <v>17</v>
      </c>
      <c r="C127" s="19">
        <v>31.0</v>
      </c>
      <c r="D127" s="19">
        <v>4903.0</v>
      </c>
      <c r="E127" s="19">
        <v>4527.0</v>
      </c>
      <c r="G127" s="9" t="str">
        <f t="shared" si="1"/>
        <v>43958|Екатеринбург</v>
      </c>
    </row>
    <row r="128" ht="14.25" customHeight="1">
      <c r="A128" s="18">
        <v>43958.0</v>
      </c>
      <c r="B128" s="19" t="s">
        <v>19</v>
      </c>
      <c r="C128" s="19">
        <v>21.0</v>
      </c>
      <c r="D128" s="19">
        <v>1879.0</v>
      </c>
      <c r="E128" s="19">
        <v>1695.0</v>
      </c>
      <c r="G128" s="9" t="str">
        <f t="shared" si="1"/>
        <v>43958|Казань</v>
      </c>
    </row>
    <row r="129" ht="14.25" customHeight="1">
      <c r="A129" s="18">
        <v>43958.0</v>
      </c>
      <c r="B129" s="19" t="s">
        <v>10</v>
      </c>
      <c r="C129" s="19">
        <v>21.0</v>
      </c>
      <c r="D129" s="19">
        <v>1542.0</v>
      </c>
      <c r="E129" s="19">
        <v>1405.0</v>
      </c>
      <c r="G129" s="9" t="str">
        <f t="shared" si="1"/>
        <v>43958|Кемерово</v>
      </c>
    </row>
    <row r="130" ht="14.25" customHeight="1">
      <c r="A130" s="18">
        <v>43958.0</v>
      </c>
      <c r="B130" s="19" t="s">
        <v>22</v>
      </c>
      <c r="C130" s="19">
        <v>19.0</v>
      </c>
      <c r="D130" s="19">
        <v>1580.0</v>
      </c>
      <c r="E130" s="19">
        <v>1435.0</v>
      </c>
      <c r="G130" s="9" t="str">
        <f t="shared" si="1"/>
        <v>43958|Краснодар</v>
      </c>
    </row>
    <row r="131" ht="14.25" customHeight="1">
      <c r="A131" s="18">
        <v>43958.0</v>
      </c>
      <c r="B131" s="19" t="s">
        <v>13</v>
      </c>
      <c r="C131" s="19">
        <v>54.0</v>
      </c>
      <c r="D131" s="19">
        <v>12743.0</v>
      </c>
      <c r="E131" s="19">
        <v>11858.0</v>
      </c>
      <c r="G131" s="9" t="str">
        <f t="shared" si="1"/>
        <v>43958|Москва Восток</v>
      </c>
    </row>
    <row r="132" ht="14.25" customHeight="1">
      <c r="A132" s="18">
        <v>43958.0</v>
      </c>
      <c r="B132" s="19" t="s">
        <v>15</v>
      </c>
      <c r="C132" s="19">
        <v>59.0</v>
      </c>
      <c r="D132" s="19">
        <v>13495.0</v>
      </c>
      <c r="E132" s="19">
        <v>12517.0</v>
      </c>
      <c r="G132" s="9" t="str">
        <f t="shared" si="1"/>
        <v>43958|Москва Запад</v>
      </c>
    </row>
    <row r="133" ht="14.25" customHeight="1">
      <c r="A133" s="18">
        <v>43958.0</v>
      </c>
      <c r="B133" s="19" t="s">
        <v>21</v>
      </c>
      <c r="C133" s="19">
        <v>19.0</v>
      </c>
      <c r="D133" s="19">
        <v>1530.0</v>
      </c>
      <c r="E133" s="19">
        <v>1338.0</v>
      </c>
      <c r="G133" s="9" t="str">
        <f t="shared" si="1"/>
        <v>43958|Нижний Новгород</v>
      </c>
    </row>
    <row r="134" ht="14.25" customHeight="1">
      <c r="A134" s="18">
        <v>43958.0</v>
      </c>
      <c r="B134" s="19" t="s">
        <v>27</v>
      </c>
      <c r="C134" s="19">
        <v>15.0</v>
      </c>
      <c r="D134" s="19">
        <v>676.0</v>
      </c>
      <c r="E134" s="19">
        <v>591.0</v>
      </c>
      <c r="G134" s="9" t="str">
        <f t="shared" si="1"/>
        <v>43958|Новосибирск</v>
      </c>
    </row>
    <row r="135" ht="14.25" customHeight="1">
      <c r="A135" s="18">
        <v>43958.0</v>
      </c>
      <c r="B135" s="19" t="s">
        <v>26</v>
      </c>
      <c r="C135" s="19">
        <v>15.0</v>
      </c>
      <c r="D135" s="19">
        <v>805.0</v>
      </c>
      <c r="E135" s="19">
        <v>703.0</v>
      </c>
      <c r="G135" s="9" t="str">
        <f t="shared" si="1"/>
        <v>43958|Пермь</v>
      </c>
    </row>
    <row r="136" ht="14.25" customHeight="1">
      <c r="A136" s="18">
        <v>43958.0</v>
      </c>
      <c r="B136" s="19" t="s">
        <v>24</v>
      </c>
      <c r="C136" s="19">
        <v>15.0</v>
      </c>
      <c r="D136" s="19">
        <v>480.0</v>
      </c>
      <c r="E136" s="19">
        <v>398.0</v>
      </c>
      <c r="G136" s="9" t="str">
        <f t="shared" si="1"/>
        <v>43958|Ростов-на-Дону</v>
      </c>
    </row>
    <row r="137" ht="14.25" customHeight="1">
      <c r="A137" s="18">
        <v>43958.0</v>
      </c>
      <c r="B137" s="19" t="s">
        <v>16</v>
      </c>
      <c r="C137" s="19">
        <v>125.0</v>
      </c>
      <c r="D137" s="19">
        <v>18014.0</v>
      </c>
      <c r="E137" s="19">
        <v>16675.0</v>
      </c>
      <c r="G137" s="9" t="str">
        <f t="shared" si="1"/>
        <v>43958|Санкт-Петербург Север</v>
      </c>
    </row>
    <row r="138" ht="14.25" customHeight="1">
      <c r="A138" s="18">
        <v>43958.0</v>
      </c>
      <c r="B138" s="19" t="s">
        <v>18</v>
      </c>
      <c r="C138" s="19">
        <v>129.0</v>
      </c>
      <c r="D138" s="19">
        <v>14582.0</v>
      </c>
      <c r="E138" s="19">
        <v>13512.0</v>
      </c>
      <c r="G138" s="9" t="str">
        <f t="shared" si="1"/>
        <v>43958|Санкт-Петербург Юг</v>
      </c>
    </row>
    <row r="139" ht="14.25" customHeight="1">
      <c r="A139" s="18">
        <v>43958.0</v>
      </c>
      <c r="B139" s="19" t="s">
        <v>25</v>
      </c>
      <c r="C139" s="19">
        <v>10.0</v>
      </c>
      <c r="D139" s="19">
        <v>563.0</v>
      </c>
      <c r="E139" s="19">
        <v>486.0</v>
      </c>
      <c r="G139" s="9" t="str">
        <f t="shared" si="1"/>
        <v>43958|Тольятти</v>
      </c>
    </row>
    <row r="140" ht="14.25" customHeight="1">
      <c r="A140" s="18">
        <v>43959.0</v>
      </c>
      <c r="B140" s="19" t="s">
        <v>20</v>
      </c>
      <c r="C140" s="19">
        <v>36.0</v>
      </c>
      <c r="D140" s="19">
        <v>4199.0</v>
      </c>
      <c r="E140" s="19">
        <v>3867.0</v>
      </c>
      <c r="G140" s="9" t="str">
        <f t="shared" si="1"/>
        <v>43959|Волгоград</v>
      </c>
    </row>
    <row r="141" ht="14.25" customHeight="1">
      <c r="A141" s="18">
        <v>43959.0</v>
      </c>
      <c r="B141" s="19" t="s">
        <v>17</v>
      </c>
      <c r="C141" s="19">
        <v>31.0</v>
      </c>
      <c r="D141" s="19">
        <v>4635.0</v>
      </c>
      <c r="E141" s="19">
        <v>4266.0</v>
      </c>
      <c r="G141" s="9" t="str">
        <f t="shared" si="1"/>
        <v>43959|Екатеринбург</v>
      </c>
    </row>
    <row r="142" ht="14.25" customHeight="1">
      <c r="A142" s="18">
        <v>43959.0</v>
      </c>
      <c r="B142" s="19" t="s">
        <v>19</v>
      </c>
      <c r="C142" s="19">
        <v>21.0</v>
      </c>
      <c r="D142" s="19">
        <v>1957.0</v>
      </c>
      <c r="E142" s="19">
        <v>1755.0</v>
      </c>
      <c r="G142" s="9" t="str">
        <f t="shared" si="1"/>
        <v>43959|Казань</v>
      </c>
    </row>
    <row r="143" ht="14.25" customHeight="1">
      <c r="A143" s="18">
        <v>43959.0</v>
      </c>
      <c r="B143" s="19" t="s">
        <v>10</v>
      </c>
      <c r="C143" s="19">
        <v>21.0</v>
      </c>
      <c r="D143" s="19">
        <v>1646.0</v>
      </c>
      <c r="E143" s="19">
        <v>1492.0</v>
      </c>
      <c r="G143" s="9" t="str">
        <f t="shared" si="1"/>
        <v>43959|Кемерово</v>
      </c>
    </row>
    <row r="144" ht="14.25" customHeight="1">
      <c r="A144" s="18">
        <v>43959.0</v>
      </c>
      <c r="B144" s="19" t="s">
        <v>22</v>
      </c>
      <c r="C144" s="19">
        <v>19.0</v>
      </c>
      <c r="D144" s="19">
        <v>1520.0</v>
      </c>
      <c r="E144" s="19">
        <v>1380.0</v>
      </c>
      <c r="G144" s="9" t="str">
        <f t="shared" si="1"/>
        <v>43959|Краснодар</v>
      </c>
    </row>
    <row r="145" ht="14.25" customHeight="1">
      <c r="A145" s="18">
        <v>43959.0</v>
      </c>
      <c r="B145" s="19" t="s">
        <v>13</v>
      </c>
      <c r="C145" s="19">
        <v>54.0</v>
      </c>
      <c r="D145" s="19">
        <v>13563.0</v>
      </c>
      <c r="E145" s="19">
        <v>12604.0</v>
      </c>
      <c r="G145" s="9" t="str">
        <f t="shared" si="1"/>
        <v>43959|Москва Восток</v>
      </c>
    </row>
    <row r="146" ht="14.25" customHeight="1">
      <c r="A146" s="18">
        <v>43959.0</v>
      </c>
      <c r="B146" s="19" t="s">
        <v>15</v>
      </c>
      <c r="C146" s="19">
        <v>59.0</v>
      </c>
      <c r="D146" s="19">
        <v>14098.0</v>
      </c>
      <c r="E146" s="19">
        <v>13106.0</v>
      </c>
      <c r="G146" s="9" t="str">
        <f t="shared" si="1"/>
        <v>43959|Москва Запад</v>
      </c>
    </row>
    <row r="147" ht="14.25" customHeight="1">
      <c r="A147" s="18">
        <v>43959.0</v>
      </c>
      <c r="B147" s="19" t="s">
        <v>21</v>
      </c>
      <c r="C147" s="19">
        <v>19.0</v>
      </c>
      <c r="D147" s="19">
        <v>1522.0</v>
      </c>
      <c r="E147" s="19">
        <v>1340.0</v>
      </c>
      <c r="G147" s="9" t="str">
        <f t="shared" si="1"/>
        <v>43959|Нижний Новгород</v>
      </c>
    </row>
    <row r="148" ht="14.25" customHeight="1">
      <c r="A148" s="18">
        <v>43959.0</v>
      </c>
      <c r="B148" s="19" t="s">
        <v>27</v>
      </c>
      <c r="C148" s="19">
        <v>15.0</v>
      </c>
      <c r="D148" s="19">
        <v>703.0</v>
      </c>
      <c r="E148" s="19">
        <v>609.0</v>
      </c>
      <c r="G148" s="9" t="str">
        <f t="shared" si="1"/>
        <v>43959|Новосибирск</v>
      </c>
    </row>
    <row r="149" ht="14.25" customHeight="1">
      <c r="A149" s="18">
        <v>43959.0</v>
      </c>
      <c r="B149" s="19" t="s">
        <v>26</v>
      </c>
      <c r="C149" s="19">
        <v>15.0</v>
      </c>
      <c r="D149" s="19">
        <v>879.0</v>
      </c>
      <c r="E149" s="19">
        <v>768.0</v>
      </c>
      <c r="G149" s="9" t="str">
        <f t="shared" si="1"/>
        <v>43959|Пермь</v>
      </c>
    </row>
    <row r="150" ht="14.25" customHeight="1">
      <c r="A150" s="18">
        <v>43959.0</v>
      </c>
      <c r="B150" s="19" t="s">
        <v>24</v>
      </c>
      <c r="C150" s="19">
        <v>15.0</v>
      </c>
      <c r="D150" s="19">
        <v>492.0</v>
      </c>
      <c r="E150" s="19">
        <v>412.0</v>
      </c>
      <c r="G150" s="9" t="str">
        <f t="shared" si="1"/>
        <v>43959|Ростов-на-Дону</v>
      </c>
    </row>
    <row r="151" ht="14.25" customHeight="1">
      <c r="A151" s="18">
        <v>43959.0</v>
      </c>
      <c r="B151" s="19" t="s">
        <v>16</v>
      </c>
      <c r="C151" s="19">
        <v>125.0</v>
      </c>
      <c r="D151" s="19">
        <v>24620.0</v>
      </c>
      <c r="E151" s="19">
        <v>22641.0</v>
      </c>
      <c r="G151" s="9" t="str">
        <f t="shared" si="1"/>
        <v>43959|Санкт-Петербург Север</v>
      </c>
    </row>
    <row r="152" ht="14.25" customHeight="1">
      <c r="A152" s="18">
        <v>43959.0</v>
      </c>
      <c r="B152" s="19" t="s">
        <v>18</v>
      </c>
      <c r="C152" s="19">
        <v>129.0</v>
      </c>
      <c r="D152" s="19">
        <v>20452.0</v>
      </c>
      <c r="E152" s="19">
        <v>18857.0</v>
      </c>
      <c r="G152" s="9" t="str">
        <f t="shared" si="1"/>
        <v>43959|Санкт-Петербург Юг</v>
      </c>
    </row>
    <row r="153" ht="14.25" customHeight="1">
      <c r="A153" s="18">
        <v>43959.0</v>
      </c>
      <c r="B153" s="19" t="s">
        <v>25</v>
      </c>
      <c r="C153" s="19">
        <v>10.0</v>
      </c>
      <c r="D153" s="19">
        <v>638.0</v>
      </c>
      <c r="E153" s="19">
        <v>547.0</v>
      </c>
      <c r="G153" s="9" t="str">
        <f t="shared" si="1"/>
        <v>43959|Тольятти</v>
      </c>
    </row>
    <row r="154" ht="14.25" customHeight="1">
      <c r="A154" s="18">
        <v>43960.0</v>
      </c>
      <c r="B154" s="19" t="s">
        <v>20</v>
      </c>
      <c r="C154" s="19">
        <v>36.0</v>
      </c>
      <c r="D154" s="19">
        <v>5413.0</v>
      </c>
      <c r="E154" s="19">
        <v>4959.0</v>
      </c>
      <c r="G154" s="9" t="str">
        <f t="shared" si="1"/>
        <v>43960|Волгоград</v>
      </c>
    </row>
    <row r="155" ht="14.25" customHeight="1">
      <c r="A155" s="18">
        <v>43960.0</v>
      </c>
      <c r="B155" s="19" t="s">
        <v>17</v>
      </c>
      <c r="C155" s="19">
        <v>31.0</v>
      </c>
      <c r="D155" s="19">
        <v>4556.0</v>
      </c>
      <c r="E155" s="19">
        <v>4220.0</v>
      </c>
      <c r="G155" s="9" t="str">
        <f t="shared" si="1"/>
        <v>43960|Екатеринбург</v>
      </c>
    </row>
    <row r="156" ht="14.25" customHeight="1">
      <c r="A156" s="18">
        <v>43960.0</v>
      </c>
      <c r="B156" s="19" t="s">
        <v>19</v>
      </c>
      <c r="C156" s="19">
        <v>21.0</v>
      </c>
      <c r="D156" s="19">
        <v>1891.0</v>
      </c>
      <c r="E156" s="19">
        <v>1709.0</v>
      </c>
      <c r="G156" s="9" t="str">
        <f t="shared" si="1"/>
        <v>43960|Казань</v>
      </c>
    </row>
    <row r="157" ht="14.25" customHeight="1">
      <c r="A157" s="18">
        <v>43960.0</v>
      </c>
      <c r="B157" s="19" t="s">
        <v>10</v>
      </c>
      <c r="C157" s="19">
        <v>21.0</v>
      </c>
      <c r="D157" s="19">
        <v>1735.0</v>
      </c>
      <c r="E157" s="19">
        <v>1568.0</v>
      </c>
      <c r="G157" s="9" t="str">
        <f t="shared" si="1"/>
        <v>43960|Кемерово</v>
      </c>
    </row>
    <row r="158" ht="14.25" customHeight="1">
      <c r="A158" s="18">
        <v>43960.0</v>
      </c>
      <c r="B158" s="19" t="s">
        <v>22</v>
      </c>
      <c r="C158" s="19">
        <v>19.0</v>
      </c>
      <c r="D158" s="19">
        <v>1542.0</v>
      </c>
      <c r="E158" s="19">
        <v>1412.0</v>
      </c>
      <c r="G158" s="9" t="str">
        <f t="shared" si="1"/>
        <v>43960|Краснодар</v>
      </c>
    </row>
    <row r="159" ht="14.25" customHeight="1">
      <c r="A159" s="18">
        <v>43960.0</v>
      </c>
      <c r="B159" s="19" t="s">
        <v>13</v>
      </c>
      <c r="C159" s="19">
        <v>54.0</v>
      </c>
      <c r="D159" s="19">
        <v>11288.0</v>
      </c>
      <c r="E159" s="19">
        <v>10492.0</v>
      </c>
      <c r="G159" s="9" t="str">
        <f t="shared" si="1"/>
        <v>43960|Москва Восток</v>
      </c>
    </row>
    <row r="160" ht="14.25" customHeight="1">
      <c r="A160" s="18">
        <v>43960.0</v>
      </c>
      <c r="B160" s="19" t="s">
        <v>15</v>
      </c>
      <c r="C160" s="19">
        <v>59.0</v>
      </c>
      <c r="D160" s="19">
        <v>12016.0</v>
      </c>
      <c r="E160" s="19">
        <v>11137.0</v>
      </c>
      <c r="G160" s="9" t="str">
        <f t="shared" si="1"/>
        <v>43960|Москва Запад</v>
      </c>
    </row>
    <row r="161" ht="14.25" customHeight="1">
      <c r="A161" s="18">
        <v>43960.0</v>
      </c>
      <c r="B161" s="19" t="s">
        <v>21</v>
      </c>
      <c r="C161" s="19">
        <v>19.0</v>
      </c>
      <c r="D161" s="19">
        <v>1851.0</v>
      </c>
      <c r="E161" s="19">
        <v>1635.0</v>
      </c>
      <c r="G161" s="9" t="str">
        <f t="shared" si="1"/>
        <v>43960|Нижний Новгород</v>
      </c>
    </row>
    <row r="162" ht="14.25" customHeight="1">
      <c r="A162" s="18">
        <v>43960.0</v>
      </c>
      <c r="B162" s="19" t="s">
        <v>27</v>
      </c>
      <c r="C162" s="19">
        <v>15.0</v>
      </c>
      <c r="D162" s="19">
        <v>654.0</v>
      </c>
      <c r="E162" s="19">
        <v>570.0</v>
      </c>
      <c r="G162" s="9" t="str">
        <f t="shared" si="1"/>
        <v>43960|Новосибирск</v>
      </c>
    </row>
    <row r="163" ht="14.25" customHeight="1">
      <c r="A163" s="18">
        <v>43960.0</v>
      </c>
      <c r="B163" s="19" t="s">
        <v>26</v>
      </c>
      <c r="C163" s="19">
        <v>15.0</v>
      </c>
      <c r="D163" s="19">
        <v>849.0</v>
      </c>
      <c r="E163" s="19">
        <v>740.0</v>
      </c>
      <c r="G163" s="9" t="str">
        <f t="shared" si="1"/>
        <v>43960|Пермь</v>
      </c>
    </row>
    <row r="164" ht="14.25" customHeight="1">
      <c r="A164" s="18">
        <v>43960.0</v>
      </c>
      <c r="B164" s="19" t="s">
        <v>24</v>
      </c>
      <c r="C164" s="19">
        <v>15.0</v>
      </c>
      <c r="D164" s="19">
        <v>623.0</v>
      </c>
      <c r="E164" s="19">
        <v>535.0</v>
      </c>
      <c r="G164" s="9" t="str">
        <f t="shared" si="1"/>
        <v>43960|Ростов-на-Дону</v>
      </c>
    </row>
    <row r="165" ht="14.25" customHeight="1">
      <c r="A165" s="18">
        <v>43960.0</v>
      </c>
      <c r="B165" s="19" t="s">
        <v>16</v>
      </c>
      <c r="C165" s="19">
        <v>125.0</v>
      </c>
      <c r="D165" s="19">
        <v>20132.0</v>
      </c>
      <c r="E165" s="19">
        <v>18617.0</v>
      </c>
      <c r="G165" s="9" t="str">
        <f t="shared" si="1"/>
        <v>43960|Санкт-Петербург Север</v>
      </c>
    </row>
    <row r="166" ht="14.25" customHeight="1">
      <c r="A166" s="18">
        <v>43960.0</v>
      </c>
      <c r="B166" s="19" t="s">
        <v>18</v>
      </c>
      <c r="C166" s="19">
        <v>129.0</v>
      </c>
      <c r="D166" s="19">
        <v>16420.0</v>
      </c>
      <c r="E166" s="19">
        <v>15169.0</v>
      </c>
      <c r="G166" s="9" t="str">
        <f t="shared" si="1"/>
        <v>43960|Санкт-Петербург Юг</v>
      </c>
    </row>
    <row r="167" ht="14.25" customHeight="1">
      <c r="A167" s="18">
        <v>43960.0</v>
      </c>
      <c r="B167" s="19" t="s">
        <v>25</v>
      </c>
      <c r="C167" s="19">
        <v>10.0</v>
      </c>
      <c r="D167" s="19">
        <v>644.0</v>
      </c>
      <c r="E167" s="19">
        <v>559.0</v>
      </c>
      <c r="G167" s="9" t="str">
        <f t="shared" si="1"/>
        <v>43960|Тольятти</v>
      </c>
    </row>
    <row r="168" ht="14.25" customHeight="1">
      <c r="A168" s="18">
        <v>43961.0</v>
      </c>
      <c r="B168" s="19" t="s">
        <v>20</v>
      </c>
      <c r="C168" s="19">
        <v>36.0</v>
      </c>
      <c r="D168" s="19">
        <v>5746.0</v>
      </c>
      <c r="E168" s="19">
        <v>5277.0</v>
      </c>
      <c r="G168" s="9" t="str">
        <f t="shared" si="1"/>
        <v>43961|Волгоград</v>
      </c>
    </row>
    <row r="169" ht="14.25" customHeight="1">
      <c r="A169" s="18">
        <v>43961.0</v>
      </c>
      <c r="B169" s="19" t="s">
        <v>17</v>
      </c>
      <c r="C169" s="19">
        <v>31.0</v>
      </c>
      <c r="D169" s="19">
        <v>5495.0</v>
      </c>
      <c r="E169" s="19">
        <v>5093.0</v>
      </c>
      <c r="G169" s="9" t="str">
        <f t="shared" si="1"/>
        <v>43961|Екатеринбург</v>
      </c>
    </row>
    <row r="170" ht="14.25" customHeight="1">
      <c r="A170" s="18">
        <v>43961.0</v>
      </c>
      <c r="B170" s="19" t="s">
        <v>19</v>
      </c>
      <c r="C170" s="19">
        <v>21.0</v>
      </c>
      <c r="D170" s="19">
        <v>2120.0</v>
      </c>
      <c r="E170" s="19">
        <v>1921.0</v>
      </c>
      <c r="G170" s="9" t="str">
        <f t="shared" si="1"/>
        <v>43961|Казань</v>
      </c>
    </row>
    <row r="171" ht="14.25" customHeight="1">
      <c r="A171" s="18">
        <v>43961.0</v>
      </c>
      <c r="B171" s="19" t="s">
        <v>10</v>
      </c>
      <c r="C171" s="19">
        <v>21.0</v>
      </c>
      <c r="D171" s="19">
        <v>2016.0</v>
      </c>
      <c r="E171" s="19">
        <v>1846.0</v>
      </c>
      <c r="G171" s="9" t="str">
        <f t="shared" si="1"/>
        <v>43961|Кемерово</v>
      </c>
    </row>
    <row r="172" ht="14.25" customHeight="1">
      <c r="A172" s="18">
        <v>43961.0</v>
      </c>
      <c r="B172" s="19" t="s">
        <v>22</v>
      </c>
      <c r="C172" s="19">
        <v>19.0</v>
      </c>
      <c r="D172" s="19">
        <v>1836.0</v>
      </c>
      <c r="E172" s="19">
        <v>1680.0</v>
      </c>
      <c r="G172" s="9" t="str">
        <f t="shared" si="1"/>
        <v>43961|Краснодар</v>
      </c>
    </row>
    <row r="173" ht="14.25" customHeight="1">
      <c r="A173" s="18">
        <v>43961.0</v>
      </c>
      <c r="B173" s="19" t="s">
        <v>13</v>
      </c>
      <c r="C173" s="19">
        <v>54.0</v>
      </c>
      <c r="D173" s="19">
        <v>13832.0</v>
      </c>
      <c r="E173" s="19">
        <v>12864.0</v>
      </c>
      <c r="G173" s="9" t="str">
        <f t="shared" si="1"/>
        <v>43961|Москва Восток</v>
      </c>
    </row>
    <row r="174" ht="14.25" customHeight="1">
      <c r="A174" s="18">
        <v>43961.0</v>
      </c>
      <c r="B174" s="19" t="s">
        <v>15</v>
      </c>
      <c r="C174" s="19">
        <v>59.0</v>
      </c>
      <c r="D174" s="19">
        <v>14569.0</v>
      </c>
      <c r="E174" s="19">
        <v>13566.0</v>
      </c>
      <c r="G174" s="9" t="str">
        <f t="shared" si="1"/>
        <v>43961|Москва Запад</v>
      </c>
    </row>
    <row r="175" ht="14.25" customHeight="1">
      <c r="A175" s="18">
        <v>43961.0</v>
      </c>
      <c r="B175" s="19" t="s">
        <v>21</v>
      </c>
      <c r="C175" s="19">
        <v>19.0</v>
      </c>
      <c r="D175" s="19">
        <v>1848.0</v>
      </c>
      <c r="E175" s="19">
        <v>1649.0</v>
      </c>
      <c r="G175" s="9" t="str">
        <f t="shared" si="1"/>
        <v>43961|Нижний Новгород</v>
      </c>
    </row>
    <row r="176" ht="14.25" customHeight="1">
      <c r="A176" s="18">
        <v>43961.0</v>
      </c>
      <c r="B176" s="19" t="s">
        <v>27</v>
      </c>
      <c r="C176" s="19">
        <v>15.0</v>
      </c>
      <c r="D176" s="19">
        <v>792.0</v>
      </c>
      <c r="E176" s="19">
        <v>695.0</v>
      </c>
      <c r="G176" s="9" t="str">
        <f t="shared" si="1"/>
        <v>43961|Новосибирск</v>
      </c>
    </row>
    <row r="177" ht="14.25" customHeight="1">
      <c r="A177" s="18">
        <v>43961.0</v>
      </c>
      <c r="B177" s="19" t="s">
        <v>26</v>
      </c>
      <c r="C177" s="19">
        <v>15.0</v>
      </c>
      <c r="D177" s="19">
        <v>950.0</v>
      </c>
      <c r="E177" s="19">
        <v>848.0</v>
      </c>
      <c r="G177" s="9" t="str">
        <f t="shared" si="1"/>
        <v>43961|Пермь</v>
      </c>
    </row>
    <row r="178" ht="14.25" customHeight="1">
      <c r="A178" s="18">
        <v>43961.0</v>
      </c>
      <c r="B178" s="19" t="s">
        <v>24</v>
      </c>
      <c r="C178" s="19">
        <v>15.0</v>
      </c>
      <c r="D178" s="19">
        <v>706.0</v>
      </c>
      <c r="E178" s="19">
        <v>608.0</v>
      </c>
      <c r="G178" s="9" t="str">
        <f t="shared" si="1"/>
        <v>43961|Ростов-на-Дону</v>
      </c>
    </row>
    <row r="179" ht="14.25" customHeight="1">
      <c r="A179" s="18">
        <v>43961.0</v>
      </c>
      <c r="B179" s="19" t="s">
        <v>16</v>
      </c>
      <c r="C179" s="19">
        <v>125.0</v>
      </c>
      <c r="D179" s="19">
        <v>20368.0</v>
      </c>
      <c r="E179" s="19">
        <v>18884.0</v>
      </c>
      <c r="G179" s="9" t="str">
        <f t="shared" si="1"/>
        <v>43961|Санкт-Петербург Север</v>
      </c>
    </row>
    <row r="180" ht="14.25" customHeight="1">
      <c r="A180" s="18">
        <v>43961.0</v>
      </c>
      <c r="B180" s="19" t="s">
        <v>18</v>
      </c>
      <c r="C180" s="19">
        <v>129.0</v>
      </c>
      <c r="D180" s="19">
        <v>16437.0</v>
      </c>
      <c r="E180" s="19">
        <v>15285.0</v>
      </c>
      <c r="G180" s="9" t="str">
        <f t="shared" si="1"/>
        <v>43961|Санкт-Петербург Юг</v>
      </c>
    </row>
    <row r="181" ht="14.25" customHeight="1">
      <c r="A181" s="18">
        <v>43961.0</v>
      </c>
      <c r="B181" s="19" t="s">
        <v>25</v>
      </c>
      <c r="C181" s="19">
        <v>10.0</v>
      </c>
      <c r="D181" s="19">
        <v>642.0</v>
      </c>
      <c r="E181" s="19">
        <v>556.0</v>
      </c>
      <c r="G181" s="9" t="str">
        <f t="shared" si="1"/>
        <v>43961|Тольятти</v>
      </c>
    </row>
    <row r="182" ht="14.25" customHeight="1">
      <c r="A182" s="18">
        <v>43962.0</v>
      </c>
      <c r="B182" s="19" t="s">
        <v>20</v>
      </c>
      <c r="C182" s="19">
        <v>36.0</v>
      </c>
      <c r="D182" s="19">
        <v>4150.0</v>
      </c>
      <c r="E182" s="19">
        <v>3838.0</v>
      </c>
      <c r="G182" s="9" t="str">
        <f t="shared" si="1"/>
        <v>43962|Волгоград</v>
      </c>
    </row>
    <row r="183" ht="14.25" customHeight="1">
      <c r="A183" s="18">
        <v>43962.0</v>
      </c>
      <c r="B183" s="19" t="s">
        <v>17</v>
      </c>
      <c r="C183" s="19">
        <v>31.0</v>
      </c>
      <c r="D183" s="19">
        <v>4826.0</v>
      </c>
      <c r="E183" s="19">
        <v>4483.0</v>
      </c>
      <c r="G183" s="9" t="str">
        <f t="shared" si="1"/>
        <v>43962|Екатеринбург</v>
      </c>
    </row>
    <row r="184" ht="14.25" customHeight="1">
      <c r="A184" s="18">
        <v>43962.0</v>
      </c>
      <c r="B184" s="19" t="s">
        <v>19</v>
      </c>
      <c r="C184" s="19">
        <v>21.0</v>
      </c>
      <c r="D184" s="19">
        <v>1916.0</v>
      </c>
      <c r="E184" s="19">
        <v>1733.0</v>
      </c>
      <c r="G184" s="9" t="str">
        <f t="shared" si="1"/>
        <v>43962|Казань</v>
      </c>
    </row>
    <row r="185" ht="14.25" customHeight="1">
      <c r="A185" s="18">
        <v>43962.0</v>
      </c>
      <c r="B185" s="19" t="s">
        <v>10</v>
      </c>
      <c r="C185" s="19">
        <v>21.0</v>
      </c>
      <c r="D185" s="19">
        <v>1597.0</v>
      </c>
      <c r="E185" s="19">
        <v>1457.0</v>
      </c>
      <c r="G185" s="9" t="str">
        <f t="shared" si="1"/>
        <v>43962|Кемерово</v>
      </c>
    </row>
    <row r="186" ht="14.25" customHeight="1">
      <c r="A186" s="18">
        <v>43962.0</v>
      </c>
      <c r="B186" s="19" t="s">
        <v>22</v>
      </c>
      <c r="C186" s="19">
        <v>19.0</v>
      </c>
      <c r="D186" s="19">
        <v>1527.0</v>
      </c>
      <c r="E186" s="19">
        <v>1389.0</v>
      </c>
      <c r="G186" s="9" t="str">
        <f t="shared" si="1"/>
        <v>43962|Краснодар</v>
      </c>
    </row>
    <row r="187" ht="14.25" customHeight="1">
      <c r="A187" s="18">
        <v>43962.0</v>
      </c>
      <c r="B187" s="19" t="s">
        <v>13</v>
      </c>
      <c r="C187" s="19">
        <v>54.0</v>
      </c>
      <c r="D187" s="19">
        <v>10570.0</v>
      </c>
      <c r="E187" s="19">
        <v>9926.0</v>
      </c>
      <c r="G187" s="9" t="str">
        <f t="shared" si="1"/>
        <v>43962|Москва Восток</v>
      </c>
    </row>
    <row r="188" ht="14.25" customHeight="1">
      <c r="A188" s="18">
        <v>43962.0</v>
      </c>
      <c r="B188" s="19" t="s">
        <v>15</v>
      </c>
      <c r="C188" s="19">
        <v>60.0</v>
      </c>
      <c r="D188" s="19">
        <v>11100.0</v>
      </c>
      <c r="E188" s="19">
        <v>10407.0</v>
      </c>
      <c r="G188" s="9" t="str">
        <f t="shared" si="1"/>
        <v>43962|Москва Запад</v>
      </c>
    </row>
    <row r="189" ht="14.25" customHeight="1">
      <c r="A189" s="18">
        <v>43962.0</v>
      </c>
      <c r="B189" s="19" t="s">
        <v>21</v>
      </c>
      <c r="C189" s="19">
        <v>19.0</v>
      </c>
      <c r="D189" s="19">
        <v>2530.0</v>
      </c>
      <c r="E189" s="19">
        <v>2270.0</v>
      </c>
      <c r="G189" s="9" t="str">
        <f t="shared" si="1"/>
        <v>43962|Нижний Новгород</v>
      </c>
    </row>
    <row r="190" ht="14.25" customHeight="1">
      <c r="A190" s="18">
        <v>43962.0</v>
      </c>
      <c r="B190" s="19" t="s">
        <v>27</v>
      </c>
      <c r="C190" s="19">
        <v>15.0</v>
      </c>
      <c r="D190" s="19">
        <v>654.0</v>
      </c>
      <c r="E190" s="19">
        <v>564.0</v>
      </c>
      <c r="G190" s="9" t="str">
        <f t="shared" si="1"/>
        <v>43962|Новосибирск</v>
      </c>
    </row>
    <row r="191" ht="14.25" customHeight="1">
      <c r="A191" s="18">
        <v>43962.0</v>
      </c>
      <c r="B191" s="19" t="s">
        <v>26</v>
      </c>
      <c r="C191" s="19">
        <v>15.0</v>
      </c>
      <c r="D191" s="19">
        <v>812.0</v>
      </c>
      <c r="E191" s="19">
        <v>714.0</v>
      </c>
      <c r="G191" s="9" t="str">
        <f t="shared" si="1"/>
        <v>43962|Пермь</v>
      </c>
    </row>
    <row r="192" ht="14.25" customHeight="1">
      <c r="A192" s="18">
        <v>43962.0</v>
      </c>
      <c r="B192" s="19" t="s">
        <v>24</v>
      </c>
      <c r="C192" s="19">
        <v>15.0</v>
      </c>
      <c r="D192" s="19">
        <v>684.0</v>
      </c>
      <c r="E192" s="19">
        <v>585.0</v>
      </c>
      <c r="G192" s="9" t="str">
        <f t="shared" si="1"/>
        <v>43962|Ростов-на-Дону</v>
      </c>
    </row>
    <row r="193" ht="14.25" customHeight="1">
      <c r="A193" s="18">
        <v>43962.0</v>
      </c>
      <c r="B193" s="19" t="s">
        <v>16</v>
      </c>
      <c r="C193" s="19">
        <v>125.0</v>
      </c>
      <c r="D193" s="19">
        <v>18066.0</v>
      </c>
      <c r="E193" s="19">
        <v>16883.0</v>
      </c>
      <c r="G193" s="9" t="str">
        <f t="shared" si="1"/>
        <v>43962|Санкт-Петербург Север</v>
      </c>
    </row>
    <row r="194" ht="14.25" customHeight="1">
      <c r="A194" s="18">
        <v>43962.0</v>
      </c>
      <c r="B194" s="19" t="s">
        <v>18</v>
      </c>
      <c r="C194" s="19">
        <v>129.0</v>
      </c>
      <c r="D194" s="19">
        <v>14043.0</v>
      </c>
      <c r="E194" s="19">
        <v>13167.0</v>
      </c>
      <c r="G194" s="9" t="str">
        <f t="shared" si="1"/>
        <v>43962|Санкт-Петербург Юг</v>
      </c>
    </row>
    <row r="195" ht="14.25" customHeight="1">
      <c r="A195" s="18">
        <v>43962.0</v>
      </c>
      <c r="B195" s="19" t="s">
        <v>25</v>
      </c>
      <c r="C195" s="19">
        <v>10.0</v>
      </c>
      <c r="D195" s="19">
        <v>494.0</v>
      </c>
      <c r="E195" s="19">
        <v>421.0</v>
      </c>
      <c r="G195" s="9" t="str">
        <f t="shared" si="1"/>
        <v>43962|Тольятти</v>
      </c>
    </row>
    <row r="196" ht="14.25" customHeight="1">
      <c r="A196" s="18">
        <v>43963.0</v>
      </c>
      <c r="B196" s="19" t="s">
        <v>20</v>
      </c>
      <c r="C196" s="19">
        <v>36.0</v>
      </c>
      <c r="D196" s="19">
        <v>4418.0</v>
      </c>
      <c r="E196" s="19">
        <v>4088.0</v>
      </c>
      <c r="G196" s="9" t="str">
        <f t="shared" si="1"/>
        <v>43963|Волгоград</v>
      </c>
    </row>
    <row r="197" ht="14.25" customHeight="1">
      <c r="A197" s="18">
        <v>43963.0</v>
      </c>
      <c r="B197" s="19" t="s">
        <v>17</v>
      </c>
      <c r="C197" s="19">
        <v>31.0</v>
      </c>
      <c r="D197" s="19">
        <v>4800.0</v>
      </c>
      <c r="E197" s="19">
        <v>4470.0</v>
      </c>
      <c r="G197" s="9" t="str">
        <f t="shared" si="1"/>
        <v>43963|Екатеринбург</v>
      </c>
    </row>
    <row r="198" ht="14.25" customHeight="1">
      <c r="A198" s="18">
        <v>43963.0</v>
      </c>
      <c r="B198" s="19" t="s">
        <v>19</v>
      </c>
      <c r="C198" s="19">
        <v>21.0</v>
      </c>
      <c r="D198" s="19">
        <v>1926.0</v>
      </c>
      <c r="E198" s="19">
        <v>1745.0</v>
      </c>
      <c r="G198" s="9" t="str">
        <f t="shared" si="1"/>
        <v>43963|Казань</v>
      </c>
    </row>
    <row r="199" ht="14.25" customHeight="1">
      <c r="A199" s="18">
        <v>43963.0</v>
      </c>
      <c r="B199" s="19" t="s">
        <v>10</v>
      </c>
      <c r="C199" s="19">
        <v>21.0</v>
      </c>
      <c r="D199" s="19">
        <v>1656.0</v>
      </c>
      <c r="E199" s="19">
        <v>1516.0</v>
      </c>
      <c r="G199" s="9" t="str">
        <f t="shared" si="1"/>
        <v>43963|Кемерово</v>
      </c>
    </row>
    <row r="200" ht="14.25" customHeight="1">
      <c r="A200" s="18">
        <v>43963.0</v>
      </c>
      <c r="B200" s="19" t="s">
        <v>22</v>
      </c>
      <c r="C200" s="19">
        <v>19.0</v>
      </c>
      <c r="D200" s="19">
        <v>1598.0</v>
      </c>
      <c r="E200" s="19">
        <v>1454.0</v>
      </c>
      <c r="G200" s="9" t="str">
        <f t="shared" si="1"/>
        <v>43963|Краснодар</v>
      </c>
    </row>
    <row r="201" ht="14.25" customHeight="1">
      <c r="A201" s="18">
        <v>43963.0</v>
      </c>
      <c r="B201" s="19" t="s">
        <v>13</v>
      </c>
      <c r="C201" s="19">
        <v>54.0</v>
      </c>
      <c r="D201" s="19">
        <v>11614.0</v>
      </c>
      <c r="E201" s="19">
        <v>10862.0</v>
      </c>
      <c r="G201" s="9" t="str">
        <f t="shared" si="1"/>
        <v>43963|Москва Восток</v>
      </c>
    </row>
    <row r="202" ht="14.25" customHeight="1">
      <c r="A202" s="18">
        <v>43963.0</v>
      </c>
      <c r="B202" s="19" t="s">
        <v>15</v>
      </c>
      <c r="C202" s="19">
        <v>60.0</v>
      </c>
      <c r="D202" s="19">
        <v>12000.0</v>
      </c>
      <c r="E202" s="19">
        <v>11194.0</v>
      </c>
      <c r="G202" s="9" t="str">
        <f t="shared" si="1"/>
        <v>43963|Москва Запад</v>
      </c>
    </row>
    <row r="203" ht="14.25" customHeight="1">
      <c r="A203" s="18">
        <v>43963.0</v>
      </c>
      <c r="B203" s="19" t="s">
        <v>21</v>
      </c>
      <c r="C203" s="19">
        <v>19.0</v>
      </c>
      <c r="D203" s="19">
        <v>1649.0</v>
      </c>
      <c r="E203" s="19">
        <v>1460.0</v>
      </c>
      <c r="G203" s="9" t="str">
        <f t="shared" si="1"/>
        <v>43963|Нижний Новгород</v>
      </c>
    </row>
    <row r="204" ht="14.25" customHeight="1">
      <c r="A204" s="18">
        <v>43963.0</v>
      </c>
      <c r="B204" s="19" t="s">
        <v>27</v>
      </c>
      <c r="C204" s="19">
        <v>15.0</v>
      </c>
      <c r="D204" s="19">
        <v>750.0</v>
      </c>
      <c r="E204" s="19">
        <v>659.0</v>
      </c>
      <c r="G204" s="9" t="str">
        <f t="shared" si="1"/>
        <v>43963|Новосибирск</v>
      </c>
    </row>
    <row r="205" ht="14.25" customHeight="1">
      <c r="A205" s="18">
        <v>43963.0</v>
      </c>
      <c r="B205" s="19" t="s">
        <v>26</v>
      </c>
      <c r="C205" s="19">
        <v>15.0</v>
      </c>
      <c r="D205" s="19">
        <v>845.0</v>
      </c>
      <c r="E205" s="19">
        <v>743.0</v>
      </c>
      <c r="G205" s="9" t="str">
        <f t="shared" si="1"/>
        <v>43963|Пермь</v>
      </c>
    </row>
    <row r="206" ht="14.25" customHeight="1">
      <c r="A206" s="18">
        <v>43963.0</v>
      </c>
      <c r="B206" s="19" t="s">
        <v>24</v>
      </c>
      <c r="C206" s="19">
        <v>15.0</v>
      </c>
      <c r="D206" s="19">
        <v>624.0</v>
      </c>
      <c r="E206" s="19">
        <v>538.0</v>
      </c>
      <c r="G206" s="9" t="str">
        <f t="shared" si="1"/>
        <v>43963|Ростов-на-Дону</v>
      </c>
    </row>
    <row r="207" ht="14.25" customHeight="1">
      <c r="A207" s="18">
        <v>43963.0</v>
      </c>
      <c r="B207" s="19" t="s">
        <v>16</v>
      </c>
      <c r="C207" s="19">
        <v>125.0</v>
      </c>
      <c r="D207" s="19">
        <v>21106.0</v>
      </c>
      <c r="E207" s="19">
        <v>19651.0</v>
      </c>
      <c r="G207" s="9" t="str">
        <f t="shared" si="1"/>
        <v>43963|Санкт-Петербург Север</v>
      </c>
    </row>
    <row r="208" ht="14.25" customHeight="1">
      <c r="A208" s="18">
        <v>43963.0</v>
      </c>
      <c r="B208" s="19" t="s">
        <v>18</v>
      </c>
      <c r="C208" s="19">
        <v>129.0</v>
      </c>
      <c r="D208" s="19">
        <v>16387.0</v>
      </c>
      <c r="E208" s="19">
        <v>15322.0</v>
      </c>
      <c r="G208" s="9" t="str">
        <f t="shared" si="1"/>
        <v>43963|Санкт-Петербург Юг</v>
      </c>
    </row>
    <row r="209" ht="14.25" customHeight="1">
      <c r="A209" s="18">
        <v>43963.0</v>
      </c>
      <c r="B209" s="19" t="s">
        <v>25</v>
      </c>
      <c r="C209" s="19">
        <v>10.0</v>
      </c>
      <c r="D209" s="19">
        <v>526.0</v>
      </c>
      <c r="E209" s="19">
        <v>448.0</v>
      </c>
      <c r="G209" s="9" t="str">
        <f t="shared" si="1"/>
        <v>43963|Тольятти</v>
      </c>
    </row>
    <row r="210" ht="14.25" customHeight="1">
      <c r="A210" s="18">
        <v>43964.0</v>
      </c>
      <c r="B210" s="19" t="s">
        <v>20</v>
      </c>
      <c r="C210" s="19">
        <v>36.0</v>
      </c>
      <c r="D210" s="19">
        <v>4967.0</v>
      </c>
      <c r="E210" s="19">
        <v>4583.0</v>
      </c>
      <c r="G210" s="9" t="str">
        <f t="shared" si="1"/>
        <v>43964|Волгоград</v>
      </c>
    </row>
    <row r="211" ht="14.25" customHeight="1">
      <c r="A211" s="18">
        <v>43964.0</v>
      </c>
      <c r="B211" s="19" t="s">
        <v>17</v>
      </c>
      <c r="C211" s="19">
        <v>31.0</v>
      </c>
      <c r="D211" s="19">
        <v>5251.0</v>
      </c>
      <c r="E211" s="19">
        <v>4853.0</v>
      </c>
      <c r="G211" s="9" t="str">
        <f t="shared" si="1"/>
        <v>43964|Екатеринбург</v>
      </c>
    </row>
    <row r="212" ht="14.25" customHeight="1">
      <c r="A212" s="18">
        <v>43964.0</v>
      </c>
      <c r="B212" s="19" t="s">
        <v>19</v>
      </c>
      <c r="C212" s="19">
        <v>21.0</v>
      </c>
      <c r="D212" s="19">
        <v>2061.0</v>
      </c>
      <c r="E212" s="19">
        <v>1876.0</v>
      </c>
      <c r="G212" s="9" t="str">
        <f t="shared" si="1"/>
        <v>43964|Казань</v>
      </c>
    </row>
    <row r="213" ht="14.25" customHeight="1">
      <c r="A213" s="18">
        <v>43964.0</v>
      </c>
      <c r="B213" s="19" t="s">
        <v>10</v>
      </c>
      <c r="C213" s="19">
        <v>21.0</v>
      </c>
      <c r="D213" s="19">
        <v>1698.0</v>
      </c>
      <c r="E213" s="19">
        <v>1554.0</v>
      </c>
      <c r="G213" s="9" t="str">
        <f t="shared" si="1"/>
        <v>43964|Кемерово</v>
      </c>
    </row>
    <row r="214" ht="14.25" customHeight="1">
      <c r="A214" s="18">
        <v>43964.0</v>
      </c>
      <c r="B214" s="19" t="s">
        <v>22</v>
      </c>
      <c r="C214" s="19">
        <v>19.0</v>
      </c>
      <c r="D214" s="19">
        <v>1605.0</v>
      </c>
      <c r="E214" s="19">
        <v>1447.0</v>
      </c>
      <c r="G214" s="9" t="str">
        <f t="shared" si="1"/>
        <v>43964|Краснодар</v>
      </c>
    </row>
    <row r="215" ht="14.25" customHeight="1">
      <c r="A215" s="18">
        <v>43964.0</v>
      </c>
      <c r="B215" s="19" t="s">
        <v>13</v>
      </c>
      <c r="C215" s="19">
        <v>54.0</v>
      </c>
      <c r="D215" s="19">
        <v>11522.0</v>
      </c>
      <c r="E215" s="19">
        <v>10803.0</v>
      </c>
      <c r="G215" s="9" t="str">
        <f t="shared" si="1"/>
        <v>43964|Москва Восток</v>
      </c>
    </row>
    <row r="216" ht="14.25" customHeight="1">
      <c r="A216" s="18">
        <v>43964.0</v>
      </c>
      <c r="B216" s="19" t="s">
        <v>15</v>
      </c>
      <c r="C216" s="19">
        <v>60.0</v>
      </c>
      <c r="D216" s="19">
        <v>12007.0</v>
      </c>
      <c r="E216" s="19">
        <v>11245.0</v>
      </c>
      <c r="G216" s="9" t="str">
        <f t="shared" si="1"/>
        <v>43964|Москва Запад</v>
      </c>
    </row>
    <row r="217" ht="14.25" customHeight="1">
      <c r="A217" s="18">
        <v>43964.0</v>
      </c>
      <c r="B217" s="19" t="s">
        <v>21</v>
      </c>
      <c r="C217" s="19">
        <v>19.0</v>
      </c>
      <c r="D217" s="19">
        <v>1625.0</v>
      </c>
      <c r="E217" s="19">
        <v>1444.0</v>
      </c>
      <c r="G217" s="9" t="str">
        <f t="shared" si="1"/>
        <v>43964|Нижний Новгород</v>
      </c>
    </row>
    <row r="218" ht="14.25" customHeight="1">
      <c r="A218" s="18">
        <v>43964.0</v>
      </c>
      <c r="B218" s="19" t="s">
        <v>27</v>
      </c>
      <c r="C218" s="19">
        <v>15.0</v>
      </c>
      <c r="D218" s="19">
        <v>854.0</v>
      </c>
      <c r="E218" s="19">
        <v>756.0</v>
      </c>
      <c r="G218" s="9" t="str">
        <f t="shared" si="1"/>
        <v>43964|Новосибирск</v>
      </c>
    </row>
    <row r="219" ht="14.25" customHeight="1">
      <c r="A219" s="18">
        <v>43964.0</v>
      </c>
      <c r="B219" s="19" t="s">
        <v>26</v>
      </c>
      <c r="C219" s="19">
        <v>15.0</v>
      </c>
      <c r="D219" s="19">
        <v>898.0</v>
      </c>
      <c r="E219" s="19">
        <v>795.0</v>
      </c>
      <c r="G219" s="9" t="str">
        <f t="shared" si="1"/>
        <v>43964|Пермь</v>
      </c>
    </row>
    <row r="220" ht="14.25" customHeight="1">
      <c r="A220" s="18">
        <v>43964.0</v>
      </c>
      <c r="B220" s="19" t="s">
        <v>24</v>
      </c>
      <c r="C220" s="19">
        <v>15.0</v>
      </c>
      <c r="D220" s="19">
        <v>599.0</v>
      </c>
      <c r="E220" s="19">
        <v>515.0</v>
      </c>
      <c r="G220" s="9" t="str">
        <f t="shared" si="1"/>
        <v>43964|Ростов-на-Дону</v>
      </c>
    </row>
    <row r="221" ht="14.25" customHeight="1">
      <c r="A221" s="18">
        <v>43964.0</v>
      </c>
      <c r="B221" s="19" t="s">
        <v>16</v>
      </c>
      <c r="C221" s="19">
        <v>125.0</v>
      </c>
      <c r="D221" s="19">
        <v>19965.0</v>
      </c>
      <c r="E221" s="19">
        <v>18573.0</v>
      </c>
      <c r="G221" s="9" t="str">
        <f t="shared" si="1"/>
        <v>43964|Санкт-Петербург Север</v>
      </c>
    </row>
    <row r="222" ht="14.25" customHeight="1">
      <c r="A222" s="18">
        <v>43964.0</v>
      </c>
      <c r="B222" s="19" t="s">
        <v>18</v>
      </c>
      <c r="C222" s="19">
        <v>129.0</v>
      </c>
      <c r="D222" s="19">
        <v>15304.0</v>
      </c>
      <c r="E222" s="19">
        <v>14315.0</v>
      </c>
      <c r="G222" s="9" t="str">
        <f t="shared" si="1"/>
        <v>43964|Санкт-Петербург Юг</v>
      </c>
    </row>
    <row r="223" ht="14.25" customHeight="1">
      <c r="A223" s="18">
        <v>43964.0</v>
      </c>
      <c r="B223" s="19" t="s">
        <v>25</v>
      </c>
      <c r="C223" s="19">
        <v>10.0</v>
      </c>
      <c r="D223" s="19">
        <v>612.0</v>
      </c>
      <c r="E223" s="19">
        <v>530.0</v>
      </c>
      <c r="G223" s="9" t="str">
        <f t="shared" si="1"/>
        <v>43964|Тольятти</v>
      </c>
    </row>
    <row r="224" ht="14.25" customHeight="1">
      <c r="A224" s="18">
        <v>43965.0</v>
      </c>
      <c r="B224" s="19" t="s">
        <v>20</v>
      </c>
      <c r="C224" s="19">
        <v>36.0</v>
      </c>
      <c r="D224" s="19">
        <v>4285.0</v>
      </c>
      <c r="E224" s="19">
        <v>3950.0</v>
      </c>
      <c r="G224" s="9" t="str">
        <f t="shared" si="1"/>
        <v>43965|Волгоград</v>
      </c>
    </row>
    <row r="225" ht="14.25" customHeight="1">
      <c r="A225" s="18">
        <v>43965.0</v>
      </c>
      <c r="B225" s="19" t="s">
        <v>17</v>
      </c>
      <c r="C225" s="19">
        <v>31.0</v>
      </c>
      <c r="D225" s="19">
        <v>4695.0</v>
      </c>
      <c r="E225" s="19">
        <v>4372.0</v>
      </c>
      <c r="G225" s="9" t="str">
        <f t="shared" si="1"/>
        <v>43965|Екатеринбург</v>
      </c>
    </row>
    <row r="226" ht="14.25" customHeight="1">
      <c r="A226" s="18">
        <v>43965.0</v>
      </c>
      <c r="B226" s="19" t="s">
        <v>19</v>
      </c>
      <c r="C226" s="19">
        <v>21.0</v>
      </c>
      <c r="D226" s="19">
        <v>1993.0</v>
      </c>
      <c r="E226" s="19">
        <v>1796.0</v>
      </c>
      <c r="G226" s="9" t="str">
        <f t="shared" si="1"/>
        <v>43965|Казань</v>
      </c>
    </row>
    <row r="227" ht="14.25" customHeight="1">
      <c r="A227" s="18">
        <v>43965.0</v>
      </c>
      <c r="B227" s="19" t="s">
        <v>10</v>
      </c>
      <c r="C227" s="19">
        <v>21.0</v>
      </c>
      <c r="D227" s="19">
        <v>1706.0</v>
      </c>
      <c r="E227" s="19">
        <v>1548.0</v>
      </c>
      <c r="G227" s="9" t="str">
        <f t="shared" si="1"/>
        <v>43965|Кемерово</v>
      </c>
    </row>
    <row r="228" ht="14.25" customHeight="1">
      <c r="A228" s="18">
        <v>43965.0</v>
      </c>
      <c r="B228" s="19" t="s">
        <v>22</v>
      </c>
      <c r="C228" s="19">
        <v>19.0</v>
      </c>
      <c r="D228" s="19">
        <v>1635.0</v>
      </c>
      <c r="E228" s="19">
        <v>1487.0</v>
      </c>
      <c r="G228" s="9" t="str">
        <f t="shared" si="1"/>
        <v>43965|Краснодар</v>
      </c>
    </row>
    <row r="229" ht="14.25" customHeight="1">
      <c r="A229" s="18">
        <v>43965.0</v>
      </c>
      <c r="B229" s="19" t="s">
        <v>13</v>
      </c>
      <c r="C229" s="19">
        <v>54.0</v>
      </c>
      <c r="D229" s="19">
        <v>11194.0</v>
      </c>
      <c r="E229" s="19">
        <v>10554.0</v>
      </c>
      <c r="G229" s="9" t="str">
        <f t="shared" si="1"/>
        <v>43965|Москва Восток</v>
      </c>
    </row>
    <row r="230" ht="14.25" customHeight="1">
      <c r="A230" s="18">
        <v>43965.0</v>
      </c>
      <c r="B230" s="19" t="s">
        <v>15</v>
      </c>
      <c r="C230" s="19">
        <v>60.0</v>
      </c>
      <c r="D230" s="19">
        <v>11935.0</v>
      </c>
      <c r="E230" s="19">
        <v>11178.0</v>
      </c>
      <c r="G230" s="9" t="str">
        <f t="shared" si="1"/>
        <v>43965|Москва Запад</v>
      </c>
    </row>
    <row r="231" ht="14.25" customHeight="1">
      <c r="A231" s="18">
        <v>43965.0</v>
      </c>
      <c r="B231" s="19" t="s">
        <v>21</v>
      </c>
      <c r="C231" s="19">
        <v>19.0</v>
      </c>
      <c r="D231" s="19">
        <v>1675.0</v>
      </c>
      <c r="E231" s="19">
        <v>1475.0</v>
      </c>
      <c r="G231" s="9" t="str">
        <f t="shared" si="1"/>
        <v>43965|Нижний Новгород</v>
      </c>
    </row>
    <row r="232" ht="14.25" customHeight="1">
      <c r="A232" s="18">
        <v>43965.0</v>
      </c>
      <c r="B232" s="19" t="s">
        <v>27</v>
      </c>
      <c r="C232" s="19">
        <v>16.0</v>
      </c>
      <c r="D232" s="19">
        <v>834.0</v>
      </c>
      <c r="E232" s="19">
        <v>735.0</v>
      </c>
      <c r="G232" s="9" t="str">
        <f t="shared" si="1"/>
        <v>43965|Новосибирск</v>
      </c>
    </row>
    <row r="233" ht="14.25" customHeight="1">
      <c r="A233" s="18">
        <v>43965.0</v>
      </c>
      <c r="B233" s="19" t="s">
        <v>26</v>
      </c>
      <c r="C233" s="19">
        <v>15.0</v>
      </c>
      <c r="D233" s="19">
        <v>890.0</v>
      </c>
      <c r="E233" s="19">
        <v>777.0</v>
      </c>
      <c r="G233" s="9" t="str">
        <f t="shared" si="1"/>
        <v>43965|Пермь</v>
      </c>
    </row>
    <row r="234" ht="14.25" customHeight="1">
      <c r="A234" s="18">
        <v>43965.0</v>
      </c>
      <c r="B234" s="19" t="s">
        <v>24</v>
      </c>
      <c r="C234" s="19">
        <v>15.0</v>
      </c>
      <c r="D234" s="19">
        <v>638.0</v>
      </c>
      <c r="E234" s="19">
        <v>548.0</v>
      </c>
      <c r="G234" s="9" t="str">
        <f t="shared" si="1"/>
        <v>43965|Ростов-на-Дону</v>
      </c>
    </row>
    <row r="235" ht="14.25" customHeight="1">
      <c r="A235" s="18">
        <v>43965.0</v>
      </c>
      <c r="B235" s="19" t="s">
        <v>16</v>
      </c>
      <c r="C235" s="19">
        <v>125.0</v>
      </c>
      <c r="D235" s="19">
        <v>20247.0</v>
      </c>
      <c r="E235" s="19">
        <v>18812.0</v>
      </c>
      <c r="G235" s="9" t="str">
        <f t="shared" si="1"/>
        <v>43965|Санкт-Петербург Север</v>
      </c>
    </row>
    <row r="236" ht="14.25" customHeight="1">
      <c r="A236" s="18">
        <v>43965.0</v>
      </c>
      <c r="B236" s="19" t="s">
        <v>18</v>
      </c>
      <c r="C236" s="19">
        <v>129.0</v>
      </c>
      <c r="D236" s="19">
        <v>15804.0</v>
      </c>
      <c r="E236" s="19">
        <v>14738.0</v>
      </c>
      <c r="G236" s="9" t="str">
        <f t="shared" si="1"/>
        <v>43965|Санкт-Петербург Юг</v>
      </c>
    </row>
    <row r="237" ht="14.25" customHeight="1">
      <c r="A237" s="18">
        <v>43965.0</v>
      </c>
      <c r="B237" s="19" t="s">
        <v>25</v>
      </c>
      <c r="C237" s="19">
        <v>10.0</v>
      </c>
      <c r="D237" s="19">
        <v>627.0</v>
      </c>
      <c r="E237" s="19">
        <v>545.0</v>
      </c>
      <c r="G237" s="9" t="str">
        <f t="shared" si="1"/>
        <v>43965|Тольятти</v>
      </c>
    </row>
    <row r="238" ht="14.25" customHeight="1">
      <c r="A238" s="18">
        <v>43966.0</v>
      </c>
      <c r="B238" s="19" t="s">
        <v>20</v>
      </c>
      <c r="C238" s="19">
        <v>36.0</v>
      </c>
      <c r="D238" s="19">
        <v>4862.0</v>
      </c>
      <c r="E238" s="19">
        <v>4476.0</v>
      </c>
      <c r="G238" s="9" t="str">
        <f t="shared" si="1"/>
        <v>43966|Волгоград</v>
      </c>
    </row>
    <row r="239" ht="14.25" customHeight="1">
      <c r="A239" s="18">
        <v>43966.0</v>
      </c>
      <c r="B239" s="19" t="s">
        <v>17</v>
      </c>
      <c r="C239" s="19">
        <v>31.0</v>
      </c>
      <c r="D239" s="19">
        <v>5184.0</v>
      </c>
      <c r="E239" s="19">
        <v>4778.0</v>
      </c>
      <c r="G239" s="9" t="str">
        <f t="shared" si="1"/>
        <v>43966|Екатеринбург</v>
      </c>
    </row>
    <row r="240" ht="14.25" customHeight="1">
      <c r="A240" s="18">
        <v>43966.0</v>
      </c>
      <c r="B240" s="19" t="s">
        <v>19</v>
      </c>
      <c r="C240" s="19">
        <v>21.0</v>
      </c>
      <c r="D240" s="19">
        <v>2255.0</v>
      </c>
      <c r="E240" s="19">
        <v>2045.0</v>
      </c>
      <c r="G240" s="9" t="str">
        <f t="shared" si="1"/>
        <v>43966|Казань</v>
      </c>
    </row>
    <row r="241" ht="14.25" customHeight="1">
      <c r="A241" s="18">
        <v>43966.0</v>
      </c>
      <c r="B241" s="19" t="s">
        <v>10</v>
      </c>
      <c r="C241" s="19">
        <v>21.0</v>
      </c>
      <c r="D241" s="19">
        <v>1926.0</v>
      </c>
      <c r="E241" s="19">
        <v>1742.0</v>
      </c>
      <c r="G241" s="9" t="str">
        <f t="shared" si="1"/>
        <v>43966|Кемерово</v>
      </c>
    </row>
    <row r="242" ht="14.25" customHeight="1">
      <c r="A242" s="18">
        <v>43966.0</v>
      </c>
      <c r="B242" s="19" t="s">
        <v>22</v>
      </c>
      <c r="C242" s="19">
        <v>19.0</v>
      </c>
      <c r="D242" s="19">
        <v>1780.0</v>
      </c>
      <c r="E242" s="19">
        <v>1615.0</v>
      </c>
      <c r="G242" s="9" t="str">
        <f t="shared" si="1"/>
        <v>43966|Краснодар</v>
      </c>
    </row>
    <row r="243" ht="14.25" customHeight="1">
      <c r="A243" s="18">
        <v>43966.0</v>
      </c>
      <c r="B243" s="19" t="s">
        <v>13</v>
      </c>
      <c r="C243" s="19">
        <v>54.0</v>
      </c>
      <c r="D243" s="19">
        <v>12791.0</v>
      </c>
      <c r="E243" s="19">
        <v>11950.0</v>
      </c>
      <c r="G243" s="9" t="str">
        <f t="shared" si="1"/>
        <v>43966|Москва Восток</v>
      </c>
    </row>
    <row r="244" ht="14.25" customHeight="1">
      <c r="A244" s="18">
        <v>43966.0</v>
      </c>
      <c r="B244" s="19" t="s">
        <v>15</v>
      </c>
      <c r="C244" s="19">
        <v>60.0</v>
      </c>
      <c r="D244" s="19">
        <v>13544.0</v>
      </c>
      <c r="E244" s="19">
        <v>12643.0</v>
      </c>
      <c r="G244" s="9" t="str">
        <f t="shared" si="1"/>
        <v>43966|Москва Запад</v>
      </c>
    </row>
    <row r="245" ht="14.25" customHeight="1">
      <c r="A245" s="18">
        <v>43966.0</v>
      </c>
      <c r="B245" s="19" t="s">
        <v>21</v>
      </c>
      <c r="C245" s="19">
        <v>19.0</v>
      </c>
      <c r="D245" s="19">
        <v>1940.0</v>
      </c>
      <c r="E245" s="19">
        <v>1715.0</v>
      </c>
      <c r="G245" s="9" t="str">
        <f t="shared" si="1"/>
        <v>43966|Нижний Новгород</v>
      </c>
    </row>
    <row r="246" ht="14.25" customHeight="1">
      <c r="A246" s="18">
        <v>43966.0</v>
      </c>
      <c r="B246" s="19" t="s">
        <v>27</v>
      </c>
      <c r="C246" s="19">
        <v>16.0</v>
      </c>
      <c r="D246" s="19">
        <v>817.0</v>
      </c>
      <c r="E246" s="19">
        <v>718.0</v>
      </c>
      <c r="G246" s="9" t="str">
        <f t="shared" si="1"/>
        <v>43966|Новосибирск</v>
      </c>
    </row>
    <row r="247" ht="14.25" customHeight="1">
      <c r="A247" s="18">
        <v>43966.0</v>
      </c>
      <c r="B247" s="19" t="s">
        <v>26</v>
      </c>
      <c r="C247" s="19">
        <v>15.0</v>
      </c>
      <c r="D247" s="19">
        <v>980.0</v>
      </c>
      <c r="E247" s="19">
        <v>867.0</v>
      </c>
      <c r="G247" s="9" t="str">
        <f t="shared" si="1"/>
        <v>43966|Пермь</v>
      </c>
    </row>
    <row r="248" ht="14.25" customHeight="1">
      <c r="A248" s="18">
        <v>43966.0</v>
      </c>
      <c r="B248" s="19" t="s">
        <v>24</v>
      </c>
      <c r="C248" s="19">
        <v>15.0</v>
      </c>
      <c r="D248" s="19">
        <v>688.0</v>
      </c>
      <c r="E248" s="19">
        <v>598.0</v>
      </c>
      <c r="G248" s="9" t="str">
        <f t="shared" si="1"/>
        <v>43966|Ростов-на-Дону</v>
      </c>
    </row>
    <row r="249" ht="14.25" customHeight="1">
      <c r="A249" s="18">
        <v>43966.0</v>
      </c>
      <c r="B249" s="19" t="s">
        <v>16</v>
      </c>
      <c r="C249" s="19">
        <v>125.0</v>
      </c>
      <c r="D249" s="19">
        <v>21862.0</v>
      </c>
      <c r="E249" s="19">
        <v>20235.0</v>
      </c>
      <c r="G249" s="9" t="str">
        <f t="shared" si="1"/>
        <v>43966|Санкт-Петербург Север</v>
      </c>
    </row>
    <row r="250" ht="14.25" customHeight="1">
      <c r="A250" s="18">
        <v>43966.0</v>
      </c>
      <c r="B250" s="19" t="s">
        <v>18</v>
      </c>
      <c r="C250" s="19">
        <v>129.0</v>
      </c>
      <c r="D250" s="19">
        <v>17808.0</v>
      </c>
      <c r="E250" s="19">
        <v>16486.0</v>
      </c>
      <c r="G250" s="9" t="str">
        <f t="shared" si="1"/>
        <v>43966|Санкт-Петербург Юг</v>
      </c>
    </row>
    <row r="251" ht="14.25" customHeight="1">
      <c r="A251" s="18">
        <v>43966.0</v>
      </c>
      <c r="B251" s="19" t="s">
        <v>25</v>
      </c>
      <c r="C251" s="19">
        <v>10.0</v>
      </c>
      <c r="D251" s="19">
        <v>743.0</v>
      </c>
      <c r="E251" s="19">
        <v>652.0</v>
      </c>
      <c r="G251" s="9" t="str">
        <f t="shared" si="1"/>
        <v>43966|Тольятти</v>
      </c>
    </row>
    <row r="252" ht="14.25" customHeight="1">
      <c r="A252" s="18">
        <v>43967.0</v>
      </c>
      <c r="B252" s="19" t="s">
        <v>20</v>
      </c>
      <c r="C252" s="19">
        <v>36.0</v>
      </c>
      <c r="D252" s="19">
        <v>5286.0</v>
      </c>
      <c r="E252" s="19">
        <v>4867.0</v>
      </c>
      <c r="G252" s="9" t="str">
        <f t="shared" si="1"/>
        <v>43967|Волгоград</v>
      </c>
    </row>
    <row r="253" ht="14.25" customHeight="1">
      <c r="A253" s="18">
        <v>43967.0</v>
      </c>
      <c r="B253" s="19" t="s">
        <v>17</v>
      </c>
      <c r="C253" s="19">
        <v>31.0</v>
      </c>
      <c r="D253" s="19">
        <v>5593.0</v>
      </c>
      <c r="E253" s="19">
        <v>5177.0</v>
      </c>
      <c r="G253" s="9" t="str">
        <f t="shared" si="1"/>
        <v>43967|Екатеринбург</v>
      </c>
    </row>
    <row r="254" ht="14.25" customHeight="1">
      <c r="A254" s="18">
        <v>43967.0</v>
      </c>
      <c r="B254" s="19" t="s">
        <v>19</v>
      </c>
      <c r="C254" s="19">
        <v>21.0</v>
      </c>
      <c r="D254" s="19">
        <v>2427.0</v>
      </c>
      <c r="E254" s="19">
        <v>2213.0</v>
      </c>
      <c r="G254" s="9" t="str">
        <f t="shared" si="1"/>
        <v>43967|Казань</v>
      </c>
    </row>
    <row r="255" ht="14.25" customHeight="1">
      <c r="A255" s="18">
        <v>43967.0</v>
      </c>
      <c r="B255" s="19" t="s">
        <v>10</v>
      </c>
      <c r="C255" s="19">
        <v>21.0</v>
      </c>
      <c r="D255" s="19">
        <v>2145.0</v>
      </c>
      <c r="E255" s="19">
        <v>1947.0</v>
      </c>
      <c r="G255" s="9" t="str">
        <f t="shared" si="1"/>
        <v>43967|Кемерово</v>
      </c>
    </row>
    <row r="256" ht="14.25" customHeight="1">
      <c r="A256" s="18">
        <v>43967.0</v>
      </c>
      <c r="B256" s="19" t="s">
        <v>22</v>
      </c>
      <c r="C256" s="19">
        <v>19.0</v>
      </c>
      <c r="D256" s="19">
        <v>2039.0</v>
      </c>
      <c r="E256" s="19">
        <v>1868.0</v>
      </c>
      <c r="G256" s="9" t="str">
        <f t="shared" si="1"/>
        <v>43967|Краснодар</v>
      </c>
    </row>
    <row r="257" ht="14.25" customHeight="1">
      <c r="A257" s="18">
        <v>43967.0</v>
      </c>
      <c r="B257" s="19" t="s">
        <v>13</v>
      </c>
      <c r="C257" s="19">
        <v>54.0</v>
      </c>
      <c r="D257" s="19">
        <v>13170.0</v>
      </c>
      <c r="E257" s="19">
        <v>12299.0</v>
      </c>
      <c r="G257" s="9" t="str">
        <f t="shared" si="1"/>
        <v>43967|Москва Восток</v>
      </c>
    </row>
    <row r="258" ht="14.25" customHeight="1">
      <c r="A258" s="18">
        <v>43967.0</v>
      </c>
      <c r="B258" s="19" t="s">
        <v>15</v>
      </c>
      <c r="C258" s="19">
        <v>60.0</v>
      </c>
      <c r="D258" s="19">
        <v>14049.0</v>
      </c>
      <c r="E258" s="19">
        <v>13118.0</v>
      </c>
      <c r="G258" s="9" t="str">
        <f t="shared" si="1"/>
        <v>43967|Москва Запад</v>
      </c>
    </row>
    <row r="259" ht="14.25" customHeight="1">
      <c r="A259" s="18">
        <v>43967.0</v>
      </c>
      <c r="B259" s="19" t="s">
        <v>21</v>
      </c>
      <c r="C259" s="19">
        <v>19.0</v>
      </c>
      <c r="D259" s="19">
        <v>2080.0</v>
      </c>
      <c r="E259" s="19">
        <v>1844.0</v>
      </c>
      <c r="G259" s="9" t="str">
        <f t="shared" si="1"/>
        <v>43967|Нижний Новгород</v>
      </c>
    </row>
    <row r="260" ht="14.25" customHeight="1">
      <c r="A260" s="18">
        <v>43967.0</v>
      </c>
      <c r="B260" s="19" t="s">
        <v>27</v>
      </c>
      <c r="C260" s="19">
        <v>16.0</v>
      </c>
      <c r="D260" s="19">
        <v>920.0</v>
      </c>
      <c r="E260" s="19">
        <v>818.0</v>
      </c>
      <c r="G260" s="9" t="str">
        <f t="shared" si="1"/>
        <v>43967|Новосибирск</v>
      </c>
    </row>
    <row r="261" ht="14.25" customHeight="1">
      <c r="A261" s="18">
        <v>43967.0</v>
      </c>
      <c r="B261" s="19" t="s">
        <v>26</v>
      </c>
      <c r="C261" s="19">
        <v>15.0</v>
      </c>
      <c r="D261" s="19">
        <v>1111.0</v>
      </c>
      <c r="E261" s="19">
        <v>992.0</v>
      </c>
      <c r="G261" s="9" t="str">
        <f t="shared" si="1"/>
        <v>43967|Пермь</v>
      </c>
    </row>
    <row r="262" ht="14.25" customHeight="1">
      <c r="A262" s="18">
        <v>43967.0</v>
      </c>
      <c r="B262" s="19" t="s">
        <v>24</v>
      </c>
      <c r="C262" s="19">
        <v>15.0</v>
      </c>
      <c r="D262" s="19">
        <v>747.0</v>
      </c>
      <c r="E262" s="19">
        <v>647.0</v>
      </c>
      <c r="G262" s="9" t="str">
        <f t="shared" si="1"/>
        <v>43967|Ростов-на-Дону</v>
      </c>
    </row>
    <row r="263" ht="14.25" customHeight="1">
      <c r="A263" s="18">
        <v>43967.0</v>
      </c>
      <c r="B263" s="19" t="s">
        <v>16</v>
      </c>
      <c r="C263" s="19">
        <v>125.0</v>
      </c>
      <c r="D263" s="19">
        <v>22291.0</v>
      </c>
      <c r="E263" s="19">
        <v>20635.0</v>
      </c>
      <c r="G263" s="9" t="str">
        <f t="shared" si="1"/>
        <v>43967|Санкт-Петербург Север</v>
      </c>
    </row>
    <row r="264" ht="14.25" customHeight="1">
      <c r="A264" s="18">
        <v>43967.0</v>
      </c>
      <c r="B264" s="19" t="s">
        <v>18</v>
      </c>
      <c r="C264" s="19">
        <v>129.0</v>
      </c>
      <c r="D264" s="19">
        <v>17914.0</v>
      </c>
      <c r="E264" s="19">
        <v>16631.0</v>
      </c>
      <c r="G264" s="9" t="str">
        <f t="shared" si="1"/>
        <v>43967|Санкт-Петербург Юг</v>
      </c>
    </row>
    <row r="265" ht="14.25" customHeight="1">
      <c r="A265" s="18">
        <v>43967.0</v>
      </c>
      <c r="B265" s="19" t="s">
        <v>25</v>
      </c>
      <c r="C265" s="19">
        <v>10.0</v>
      </c>
      <c r="D265" s="19">
        <v>760.0</v>
      </c>
      <c r="E265" s="19">
        <v>672.0</v>
      </c>
      <c r="G265" s="9" t="str">
        <f t="shared" si="1"/>
        <v>43967|Тольятти</v>
      </c>
    </row>
    <row r="266" ht="14.25" customHeight="1">
      <c r="A266" s="18">
        <v>43968.0</v>
      </c>
      <c r="B266" s="19" t="s">
        <v>20</v>
      </c>
      <c r="C266" s="19">
        <v>36.0</v>
      </c>
      <c r="D266" s="19">
        <v>4918.0</v>
      </c>
      <c r="E266" s="19">
        <v>4554.0</v>
      </c>
      <c r="G266" s="9" t="str">
        <f t="shared" si="1"/>
        <v>43968|Волгоград</v>
      </c>
    </row>
    <row r="267" ht="14.25" customHeight="1">
      <c r="A267" s="18">
        <v>43968.0</v>
      </c>
      <c r="B267" s="19" t="s">
        <v>17</v>
      </c>
      <c r="C267" s="19">
        <v>31.0</v>
      </c>
      <c r="D267" s="19">
        <v>5206.0</v>
      </c>
      <c r="E267" s="19">
        <v>4843.0</v>
      </c>
      <c r="G267" s="9" t="str">
        <f t="shared" si="1"/>
        <v>43968|Екатеринбург</v>
      </c>
    </row>
    <row r="268" ht="14.25" customHeight="1">
      <c r="A268" s="18">
        <v>43968.0</v>
      </c>
      <c r="B268" s="19" t="s">
        <v>19</v>
      </c>
      <c r="C268" s="19">
        <v>21.0</v>
      </c>
      <c r="D268" s="19">
        <v>2054.0</v>
      </c>
      <c r="E268" s="19">
        <v>1883.0</v>
      </c>
      <c r="G268" s="9" t="str">
        <f t="shared" si="1"/>
        <v>43968|Казань</v>
      </c>
    </row>
    <row r="269" ht="14.25" customHeight="1">
      <c r="A269" s="18">
        <v>43968.0</v>
      </c>
      <c r="B269" s="19" t="s">
        <v>10</v>
      </c>
      <c r="C269" s="19">
        <v>21.0</v>
      </c>
      <c r="D269" s="19">
        <v>1874.0</v>
      </c>
      <c r="E269" s="19">
        <v>1705.0</v>
      </c>
      <c r="G269" s="9" t="str">
        <f t="shared" si="1"/>
        <v>43968|Кемерово</v>
      </c>
    </row>
    <row r="270" ht="14.25" customHeight="1">
      <c r="A270" s="18">
        <v>43968.0</v>
      </c>
      <c r="B270" s="19" t="s">
        <v>22</v>
      </c>
      <c r="C270" s="19">
        <v>19.0</v>
      </c>
      <c r="D270" s="19">
        <v>1790.0</v>
      </c>
      <c r="E270" s="19">
        <v>1633.0</v>
      </c>
      <c r="G270" s="9" t="str">
        <f t="shared" si="1"/>
        <v>43968|Краснодар</v>
      </c>
    </row>
    <row r="271" ht="14.25" customHeight="1">
      <c r="A271" s="18">
        <v>43968.0</v>
      </c>
      <c r="B271" s="19" t="s">
        <v>13</v>
      </c>
      <c r="C271" s="19">
        <v>54.0</v>
      </c>
      <c r="D271" s="19">
        <v>11128.0</v>
      </c>
      <c r="E271" s="19">
        <v>10467.0</v>
      </c>
      <c r="G271" s="9" t="str">
        <f t="shared" si="1"/>
        <v>43968|Москва Восток</v>
      </c>
    </row>
    <row r="272" ht="14.25" customHeight="1">
      <c r="A272" s="18">
        <v>43968.0</v>
      </c>
      <c r="B272" s="19" t="s">
        <v>15</v>
      </c>
      <c r="C272" s="19">
        <v>60.0</v>
      </c>
      <c r="D272" s="19">
        <v>11698.0</v>
      </c>
      <c r="E272" s="19">
        <v>10989.0</v>
      </c>
      <c r="G272" s="9" t="str">
        <f t="shared" si="1"/>
        <v>43968|Москва Запад</v>
      </c>
    </row>
    <row r="273" ht="14.25" customHeight="1">
      <c r="A273" s="18">
        <v>43968.0</v>
      </c>
      <c r="B273" s="19" t="s">
        <v>21</v>
      </c>
      <c r="C273" s="19">
        <v>19.0</v>
      </c>
      <c r="D273" s="19">
        <v>1871.0</v>
      </c>
      <c r="E273" s="19">
        <v>1660.0</v>
      </c>
      <c r="G273" s="9" t="str">
        <f t="shared" si="1"/>
        <v>43968|Нижний Новгород</v>
      </c>
    </row>
    <row r="274" ht="14.25" customHeight="1">
      <c r="A274" s="18">
        <v>43968.0</v>
      </c>
      <c r="B274" s="19" t="s">
        <v>27</v>
      </c>
      <c r="C274" s="19">
        <v>16.0</v>
      </c>
      <c r="D274" s="19">
        <v>859.0</v>
      </c>
      <c r="E274" s="19">
        <v>746.0</v>
      </c>
      <c r="G274" s="9" t="str">
        <f t="shared" si="1"/>
        <v>43968|Новосибирск</v>
      </c>
    </row>
    <row r="275" ht="14.25" customHeight="1">
      <c r="A275" s="18">
        <v>43968.0</v>
      </c>
      <c r="B275" s="19" t="s">
        <v>26</v>
      </c>
      <c r="C275" s="19">
        <v>15.0</v>
      </c>
      <c r="D275" s="19">
        <v>971.0</v>
      </c>
      <c r="E275" s="19">
        <v>856.0</v>
      </c>
      <c r="G275" s="9" t="str">
        <f t="shared" si="1"/>
        <v>43968|Пермь</v>
      </c>
    </row>
    <row r="276" ht="14.25" customHeight="1">
      <c r="A276" s="18">
        <v>43968.0</v>
      </c>
      <c r="B276" s="19" t="s">
        <v>24</v>
      </c>
      <c r="C276" s="19">
        <v>15.0</v>
      </c>
      <c r="D276" s="19">
        <v>692.0</v>
      </c>
      <c r="E276" s="19">
        <v>591.0</v>
      </c>
      <c r="G276" s="9" t="str">
        <f t="shared" si="1"/>
        <v>43968|Ростов-на-Дону</v>
      </c>
    </row>
    <row r="277" ht="14.25" customHeight="1">
      <c r="A277" s="18">
        <v>43968.0</v>
      </c>
      <c r="B277" s="19" t="s">
        <v>16</v>
      </c>
      <c r="C277" s="19">
        <v>125.0</v>
      </c>
      <c r="D277" s="19">
        <v>20079.0</v>
      </c>
      <c r="E277" s="19">
        <v>18721.0</v>
      </c>
      <c r="G277" s="9" t="str">
        <f t="shared" si="1"/>
        <v>43968|Санкт-Петербург Север</v>
      </c>
    </row>
    <row r="278" ht="14.25" customHeight="1">
      <c r="A278" s="18">
        <v>43968.0</v>
      </c>
      <c r="B278" s="19" t="s">
        <v>18</v>
      </c>
      <c r="C278" s="19">
        <v>129.0</v>
      </c>
      <c r="D278" s="19">
        <v>15744.0</v>
      </c>
      <c r="E278" s="19">
        <v>14685.0</v>
      </c>
      <c r="G278" s="9" t="str">
        <f t="shared" si="1"/>
        <v>43968|Санкт-Петербург Юг</v>
      </c>
    </row>
    <row r="279" ht="14.25" customHeight="1">
      <c r="A279" s="18">
        <v>43968.0</v>
      </c>
      <c r="B279" s="19" t="s">
        <v>25</v>
      </c>
      <c r="C279" s="19">
        <v>10.0</v>
      </c>
      <c r="D279" s="19">
        <v>591.0</v>
      </c>
      <c r="E279" s="19">
        <v>513.0</v>
      </c>
      <c r="G279" s="9" t="str">
        <f t="shared" si="1"/>
        <v>43968|Тольятти</v>
      </c>
    </row>
    <row r="280" ht="14.25" customHeight="1">
      <c r="A280" s="18">
        <v>43969.0</v>
      </c>
      <c r="B280" s="19" t="s">
        <v>20</v>
      </c>
      <c r="C280" s="19">
        <v>36.0</v>
      </c>
      <c r="D280" s="19">
        <v>4885.0</v>
      </c>
      <c r="E280" s="19">
        <v>4502.0</v>
      </c>
      <c r="G280" s="9" t="str">
        <f t="shared" si="1"/>
        <v>43969|Волгоград</v>
      </c>
    </row>
    <row r="281" ht="14.25" customHeight="1">
      <c r="A281" s="18">
        <v>43969.0</v>
      </c>
      <c r="B281" s="19" t="s">
        <v>17</v>
      </c>
      <c r="C281" s="19">
        <v>31.0</v>
      </c>
      <c r="D281" s="19">
        <v>5165.0</v>
      </c>
      <c r="E281" s="19">
        <v>4813.0</v>
      </c>
      <c r="G281" s="9" t="str">
        <f t="shared" si="1"/>
        <v>43969|Екатеринбург</v>
      </c>
    </row>
    <row r="282" ht="14.25" customHeight="1">
      <c r="A282" s="18">
        <v>43969.0</v>
      </c>
      <c r="B282" s="19" t="s">
        <v>19</v>
      </c>
      <c r="C282" s="19">
        <v>21.0</v>
      </c>
      <c r="D282" s="19">
        <v>2136.0</v>
      </c>
      <c r="E282" s="19">
        <v>1947.0</v>
      </c>
      <c r="G282" s="9" t="str">
        <f t="shared" si="1"/>
        <v>43969|Казань</v>
      </c>
    </row>
    <row r="283" ht="14.25" customHeight="1">
      <c r="A283" s="18">
        <v>43969.0</v>
      </c>
      <c r="B283" s="19" t="s">
        <v>10</v>
      </c>
      <c r="C283" s="19">
        <v>21.0</v>
      </c>
      <c r="D283" s="19">
        <v>1834.0</v>
      </c>
      <c r="E283" s="19">
        <v>1660.0</v>
      </c>
      <c r="G283" s="9" t="str">
        <f t="shared" si="1"/>
        <v>43969|Кемерово</v>
      </c>
    </row>
    <row r="284" ht="14.25" customHeight="1">
      <c r="A284" s="18">
        <v>43969.0</v>
      </c>
      <c r="B284" s="19" t="s">
        <v>22</v>
      </c>
      <c r="C284" s="19">
        <v>19.0</v>
      </c>
      <c r="D284" s="19">
        <v>1741.0</v>
      </c>
      <c r="E284" s="19">
        <v>1597.0</v>
      </c>
      <c r="G284" s="9" t="str">
        <f t="shared" si="1"/>
        <v>43969|Краснодар</v>
      </c>
    </row>
    <row r="285" ht="14.25" customHeight="1">
      <c r="A285" s="18">
        <v>43969.0</v>
      </c>
      <c r="B285" s="19" t="s">
        <v>13</v>
      </c>
      <c r="C285" s="19">
        <v>54.0</v>
      </c>
      <c r="D285" s="19">
        <v>12012.0</v>
      </c>
      <c r="E285" s="19">
        <v>11308.0</v>
      </c>
      <c r="G285" s="9" t="str">
        <f t="shared" si="1"/>
        <v>43969|Москва Восток</v>
      </c>
    </row>
    <row r="286" ht="14.25" customHeight="1">
      <c r="A286" s="18">
        <v>43969.0</v>
      </c>
      <c r="B286" s="19" t="s">
        <v>15</v>
      </c>
      <c r="C286" s="19">
        <v>60.0</v>
      </c>
      <c r="D286" s="19">
        <v>12460.0</v>
      </c>
      <c r="E286" s="19">
        <v>11665.0</v>
      </c>
      <c r="G286" s="9" t="str">
        <f t="shared" si="1"/>
        <v>43969|Москва Запад</v>
      </c>
    </row>
    <row r="287" ht="14.25" customHeight="1">
      <c r="A287" s="18">
        <v>43969.0</v>
      </c>
      <c r="B287" s="19" t="s">
        <v>21</v>
      </c>
      <c r="C287" s="19">
        <v>19.0</v>
      </c>
      <c r="D287" s="19">
        <v>1858.0</v>
      </c>
      <c r="E287" s="19">
        <v>1648.0</v>
      </c>
      <c r="G287" s="9" t="str">
        <f t="shared" si="1"/>
        <v>43969|Нижний Новгород</v>
      </c>
    </row>
    <row r="288" ht="14.25" customHeight="1">
      <c r="A288" s="18">
        <v>43969.0</v>
      </c>
      <c r="B288" s="19" t="s">
        <v>27</v>
      </c>
      <c r="C288" s="19">
        <v>16.0</v>
      </c>
      <c r="D288" s="19">
        <v>864.0</v>
      </c>
      <c r="E288" s="19">
        <v>765.0</v>
      </c>
      <c r="G288" s="9" t="str">
        <f t="shared" si="1"/>
        <v>43969|Новосибирск</v>
      </c>
    </row>
    <row r="289" ht="14.25" customHeight="1">
      <c r="A289" s="18">
        <v>43969.0</v>
      </c>
      <c r="B289" s="19" t="s">
        <v>26</v>
      </c>
      <c r="C289" s="19">
        <v>16.0</v>
      </c>
      <c r="D289" s="19">
        <v>925.0</v>
      </c>
      <c r="E289" s="19">
        <v>816.0</v>
      </c>
      <c r="G289" s="9" t="str">
        <f t="shared" si="1"/>
        <v>43969|Пермь</v>
      </c>
    </row>
    <row r="290" ht="14.25" customHeight="1">
      <c r="A290" s="18">
        <v>43969.0</v>
      </c>
      <c r="B290" s="19" t="s">
        <v>24</v>
      </c>
      <c r="C290" s="19">
        <v>15.0</v>
      </c>
      <c r="D290" s="19">
        <v>729.0</v>
      </c>
      <c r="E290" s="19">
        <v>636.0</v>
      </c>
      <c r="G290" s="9" t="str">
        <f t="shared" si="1"/>
        <v>43969|Ростов-на-Дону</v>
      </c>
    </row>
    <row r="291" ht="14.25" customHeight="1">
      <c r="A291" s="18">
        <v>43969.0</v>
      </c>
      <c r="B291" s="19" t="s">
        <v>16</v>
      </c>
      <c r="C291" s="19">
        <v>125.0</v>
      </c>
      <c r="D291" s="19">
        <v>20449.0</v>
      </c>
      <c r="E291" s="19">
        <v>19060.0</v>
      </c>
      <c r="G291" s="9" t="str">
        <f t="shared" si="1"/>
        <v>43969|Санкт-Петербург Север</v>
      </c>
    </row>
    <row r="292" ht="14.25" customHeight="1">
      <c r="A292" s="18">
        <v>43969.0</v>
      </c>
      <c r="B292" s="19" t="s">
        <v>18</v>
      </c>
      <c r="C292" s="19">
        <v>129.0</v>
      </c>
      <c r="D292" s="19">
        <v>16110.0</v>
      </c>
      <c r="E292" s="19">
        <v>14992.0</v>
      </c>
      <c r="G292" s="9" t="str">
        <f t="shared" si="1"/>
        <v>43969|Санкт-Петербург Юг</v>
      </c>
    </row>
    <row r="293" ht="14.25" customHeight="1">
      <c r="A293" s="18">
        <v>43969.0</v>
      </c>
      <c r="B293" s="19" t="s">
        <v>25</v>
      </c>
      <c r="C293" s="19">
        <v>10.0</v>
      </c>
      <c r="D293" s="19">
        <v>645.0</v>
      </c>
      <c r="E293" s="19">
        <v>565.0</v>
      </c>
      <c r="G293" s="9" t="str">
        <f t="shared" si="1"/>
        <v>43969|Тольятти</v>
      </c>
    </row>
    <row r="294" ht="14.25" customHeight="1">
      <c r="A294" s="18">
        <v>43970.0</v>
      </c>
      <c r="B294" s="19" t="s">
        <v>20</v>
      </c>
      <c r="C294" s="19">
        <v>36.0</v>
      </c>
      <c r="D294" s="19">
        <v>5094.0</v>
      </c>
      <c r="E294" s="19">
        <v>4716.0</v>
      </c>
      <c r="G294" s="9" t="str">
        <f t="shared" si="1"/>
        <v>43970|Волгоград</v>
      </c>
    </row>
    <row r="295" ht="14.25" customHeight="1">
      <c r="A295" s="18">
        <v>43970.0</v>
      </c>
      <c r="B295" s="19" t="s">
        <v>17</v>
      </c>
      <c r="C295" s="19">
        <v>31.0</v>
      </c>
      <c r="D295" s="19">
        <v>5389.0</v>
      </c>
      <c r="E295" s="19">
        <v>5024.0</v>
      </c>
      <c r="G295" s="9" t="str">
        <f t="shared" si="1"/>
        <v>43970|Екатеринбург</v>
      </c>
    </row>
    <row r="296" ht="14.25" customHeight="1">
      <c r="A296" s="18">
        <v>43970.0</v>
      </c>
      <c r="B296" s="19" t="s">
        <v>19</v>
      </c>
      <c r="C296" s="19">
        <v>21.0</v>
      </c>
      <c r="D296" s="19">
        <v>2245.0</v>
      </c>
      <c r="E296" s="19">
        <v>2053.0</v>
      </c>
      <c r="G296" s="9" t="str">
        <f t="shared" si="1"/>
        <v>43970|Казань</v>
      </c>
    </row>
    <row r="297" ht="14.25" customHeight="1">
      <c r="A297" s="18">
        <v>43970.0</v>
      </c>
      <c r="B297" s="19" t="s">
        <v>10</v>
      </c>
      <c r="C297" s="19">
        <v>21.0</v>
      </c>
      <c r="D297" s="19">
        <v>1860.0</v>
      </c>
      <c r="E297" s="19">
        <v>1704.0</v>
      </c>
      <c r="G297" s="9" t="str">
        <f t="shared" si="1"/>
        <v>43970|Кемерово</v>
      </c>
    </row>
    <row r="298" ht="14.25" customHeight="1">
      <c r="A298" s="18">
        <v>43970.0</v>
      </c>
      <c r="B298" s="19" t="s">
        <v>22</v>
      </c>
      <c r="C298" s="19">
        <v>19.0</v>
      </c>
      <c r="D298" s="19">
        <v>1831.0</v>
      </c>
      <c r="E298" s="19">
        <v>1667.0</v>
      </c>
      <c r="G298" s="9" t="str">
        <f t="shared" si="1"/>
        <v>43970|Краснодар</v>
      </c>
    </row>
    <row r="299" ht="14.25" customHeight="1">
      <c r="A299" s="18">
        <v>43970.0</v>
      </c>
      <c r="B299" s="19" t="s">
        <v>13</v>
      </c>
      <c r="C299" s="19">
        <v>54.0</v>
      </c>
      <c r="D299" s="19">
        <v>13070.0</v>
      </c>
      <c r="E299" s="19">
        <v>12244.0</v>
      </c>
      <c r="G299" s="9" t="str">
        <f t="shared" si="1"/>
        <v>43970|Москва Восток</v>
      </c>
    </row>
    <row r="300" ht="14.25" customHeight="1">
      <c r="A300" s="18">
        <v>43970.0</v>
      </c>
      <c r="B300" s="19" t="s">
        <v>15</v>
      </c>
      <c r="C300" s="19">
        <v>60.0</v>
      </c>
      <c r="D300" s="19">
        <v>13867.0</v>
      </c>
      <c r="E300" s="19">
        <v>12987.0</v>
      </c>
      <c r="G300" s="9" t="str">
        <f t="shared" si="1"/>
        <v>43970|Москва Запад</v>
      </c>
    </row>
    <row r="301" ht="14.25" customHeight="1">
      <c r="A301" s="18">
        <v>43970.0</v>
      </c>
      <c r="B301" s="19" t="s">
        <v>21</v>
      </c>
      <c r="C301" s="19">
        <v>19.0</v>
      </c>
      <c r="D301" s="19">
        <v>1999.0</v>
      </c>
      <c r="E301" s="19">
        <v>1799.0</v>
      </c>
      <c r="G301" s="9" t="str">
        <f t="shared" si="1"/>
        <v>43970|Нижний Новгород</v>
      </c>
    </row>
    <row r="302" ht="14.25" customHeight="1">
      <c r="A302" s="18">
        <v>43970.0</v>
      </c>
      <c r="B302" s="19" t="s">
        <v>27</v>
      </c>
      <c r="C302" s="19">
        <v>17.0</v>
      </c>
      <c r="D302" s="19">
        <v>857.0</v>
      </c>
      <c r="E302" s="19">
        <v>757.0</v>
      </c>
      <c r="G302" s="9" t="str">
        <f t="shared" si="1"/>
        <v>43970|Новосибирск</v>
      </c>
    </row>
    <row r="303" ht="14.25" customHeight="1">
      <c r="A303" s="18">
        <v>43970.0</v>
      </c>
      <c r="B303" s="19" t="s">
        <v>26</v>
      </c>
      <c r="C303" s="19">
        <v>16.0</v>
      </c>
      <c r="D303" s="19">
        <v>1012.0</v>
      </c>
      <c r="E303" s="19">
        <v>900.0</v>
      </c>
      <c r="G303" s="9" t="str">
        <f t="shared" si="1"/>
        <v>43970|Пермь</v>
      </c>
    </row>
    <row r="304" ht="14.25" customHeight="1">
      <c r="A304" s="18">
        <v>43970.0</v>
      </c>
      <c r="B304" s="19" t="s">
        <v>24</v>
      </c>
      <c r="C304" s="19">
        <v>15.0</v>
      </c>
      <c r="D304" s="19">
        <v>930.0</v>
      </c>
      <c r="E304" s="19">
        <v>827.0</v>
      </c>
      <c r="G304" s="9" t="str">
        <f t="shared" si="1"/>
        <v>43970|Ростов-на-Дону</v>
      </c>
    </row>
    <row r="305" ht="14.25" customHeight="1">
      <c r="A305" s="18">
        <v>43970.0</v>
      </c>
      <c r="B305" s="19" t="s">
        <v>16</v>
      </c>
      <c r="C305" s="19">
        <v>125.0</v>
      </c>
      <c r="D305" s="19">
        <v>20771.0</v>
      </c>
      <c r="E305" s="19">
        <v>19338.0</v>
      </c>
      <c r="G305" s="9" t="str">
        <f t="shared" si="1"/>
        <v>43970|Санкт-Петербург Север</v>
      </c>
    </row>
    <row r="306" ht="14.25" customHeight="1">
      <c r="A306" s="18">
        <v>43970.0</v>
      </c>
      <c r="B306" s="19" t="s">
        <v>18</v>
      </c>
      <c r="C306" s="19">
        <v>129.0</v>
      </c>
      <c r="D306" s="19">
        <v>16191.0</v>
      </c>
      <c r="E306" s="19">
        <v>15102.0</v>
      </c>
      <c r="G306" s="9" t="str">
        <f t="shared" si="1"/>
        <v>43970|Санкт-Петербург Юг</v>
      </c>
    </row>
    <row r="307" ht="14.25" customHeight="1">
      <c r="A307" s="18">
        <v>43970.0</v>
      </c>
      <c r="B307" s="19" t="s">
        <v>25</v>
      </c>
      <c r="C307" s="19">
        <v>10.0</v>
      </c>
      <c r="D307" s="19">
        <v>649.0</v>
      </c>
      <c r="E307" s="19">
        <v>568.0</v>
      </c>
      <c r="G307" s="9" t="str">
        <f t="shared" si="1"/>
        <v>43970|Тольятти</v>
      </c>
    </row>
    <row r="308" ht="14.25" customHeight="1">
      <c r="A308" s="18">
        <v>43971.0</v>
      </c>
      <c r="B308" s="19" t="s">
        <v>20</v>
      </c>
      <c r="C308" s="19">
        <v>36.0</v>
      </c>
      <c r="D308" s="19">
        <v>5914.0</v>
      </c>
      <c r="E308" s="19">
        <v>5384.0</v>
      </c>
      <c r="G308" s="9" t="str">
        <f t="shared" si="1"/>
        <v>43971|Волгоград</v>
      </c>
    </row>
    <row r="309" ht="14.25" customHeight="1">
      <c r="A309" s="18">
        <v>43971.0</v>
      </c>
      <c r="B309" s="19" t="s">
        <v>17</v>
      </c>
      <c r="C309" s="19">
        <v>31.0</v>
      </c>
      <c r="D309" s="19">
        <v>5698.0</v>
      </c>
      <c r="E309" s="19">
        <v>5258.0</v>
      </c>
      <c r="G309" s="9" t="str">
        <f t="shared" si="1"/>
        <v>43971|Екатеринбург</v>
      </c>
    </row>
    <row r="310" ht="14.25" customHeight="1">
      <c r="A310" s="18">
        <v>43971.0</v>
      </c>
      <c r="B310" s="19" t="s">
        <v>19</v>
      </c>
      <c r="C310" s="19">
        <v>21.0</v>
      </c>
      <c r="D310" s="19">
        <v>2410.0</v>
      </c>
      <c r="E310" s="19">
        <v>2202.0</v>
      </c>
      <c r="G310" s="9" t="str">
        <f t="shared" si="1"/>
        <v>43971|Казань</v>
      </c>
    </row>
    <row r="311" ht="14.25" customHeight="1">
      <c r="A311" s="18">
        <v>43971.0</v>
      </c>
      <c r="B311" s="19" t="s">
        <v>10</v>
      </c>
      <c r="C311" s="19">
        <v>21.0</v>
      </c>
      <c r="D311" s="19">
        <v>1921.0</v>
      </c>
      <c r="E311" s="19">
        <v>1767.0</v>
      </c>
      <c r="G311" s="9" t="str">
        <f t="shared" si="1"/>
        <v>43971|Кемерово</v>
      </c>
    </row>
    <row r="312" ht="14.25" customHeight="1">
      <c r="A312" s="18">
        <v>43971.0</v>
      </c>
      <c r="B312" s="19" t="s">
        <v>22</v>
      </c>
      <c r="C312" s="19">
        <v>19.0</v>
      </c>
      <c r="D312" s="19">
        <v>1823.0</v>
      </c>
      <c r="E312" s="19">
        <v>1678.0</v>
      </c>
      <c r="G312" s="9" t="str">
        <f t="shared" si="1"/>
        <v>43971|Краснодар</v>
      </c>
    </row>
    <row r="313" ht="14.25" customHeight="1">
      <c r="A313" s="18">
        <v>43971.0</v>
      </c>
      <c r="B313" s="19" t="s">
        <v>13</v>
      </c>
      <c r="C313" s="19">
        <v>54.0</v>
      </c>
      <c r="D313" s="19">
        <v>13298.0</v>
      </c>
      <c r="E313" s="19">
        <v>12428.0</v>
      </c>
      <c r="G313" s="9" t="str">
        <f t="shared" si="1"/>
        <v>43971|Москва Восток</v>
      </c>
    </row>
    <row r="314" ht="14.25" customHeight="1">
      <c r="A314" s="18">
        <v>43971.0</v>
      </c>
      <c r="B314" s="19" t="s">
        <v>15</v>
      </c>
      <c r="C314" s="19">
        <v>60.0</v>
      </c>
      <c r="D314" s="19">
        <v>13792.0</v>
      </c>
      <c r="E314" s="19">
        <v>12834.0</v>
      </c>
      <c r="G314" s="9" t="str">
        <f t="shared" si="1"/>
        <v>43971|Москва Запад</v>
      </c>
    </row>
    <row r="315" ht="14.25" customHeight="1">
      <c r="A315" s="18">
        <v>43971.0</v>
      </c>
      <c r="B315" s="19" t="s">
        <v>21</v>
      </c>
      <c r="C315" s="19">
        <v>19.0</v>
      </c>
      <c r="D315" s="19">
        <v>1889.0</v>
      </c>
      <c r="E315" s="19">
        <v>1690.0</v>
      </c>
      <c r="G315" s="9" t="str">
        <f t="shared" si="1"/>
        <v>43971|Нижний Новгород</v>
      </c>
    </row>
    <row r="316" ht="14.25" customHeight="1">
      <c r="A316" s="18">
        <v>43971.0</v>
      </c>
      <c r="B316" s="19" t="s">
        <v>27</v>
      </c>
      <c r="C316" s="19">
        <v>17.0</v>
      </c>
      <c r="D316" s="19">
        <v>890.0</v>
      </c>
      <c r="E316" s="19">
        <v>794.0</v>
      </c>
      <c r="G316" s="9" t="str">
        <f t="shared" si="1"/>
        <v>43971|Новосибирск</v>
      </c>
    </row>
    <row r="317" ht="14.25" customHeight="1">
      <c r="A317" s="18">
        <v>43971.0</v>
      </c>
      <c r="B317" s="19" t="s">
        <v>26</v>
      </c>
      <c r="C317" s="19">
        <v>16.0</v>
      </c>
      <c r="D317" s="19">
        <v>1050.0</v>
      </c>
      <c r="E317" s="19">
        <v>938.0</v>
      </c>
      <c r="G317" s="9" t="str">
        <f t="shared" si="1"/>
        <v>43971|Пермь</v>
      </c>
    </row>
    <row r="318" ht="14.25" customHeight="1">
      <c r="A318" s="18">
        <v>43971.0</v>
      </c>
      <c r="B318" s="19" t="s">
        <v>24</v>
      </c>
      <c r="C318" s="19">
        <v>15.0</v>
      </c>
      <c r="D318" s="19">
        <v>760.0</v>
      </c>
      <c r="E318" s="19">
        <v>664.0</v>
      </c>
      <c r="G318" s="9" t="str">
        <f t="shared" si="1"/>
        <v>43971|Ростов-на-Дону</v>
      </c>
    </row>
    <row r="319" ht="14.25" customHeight="1">
      <c r="A319" s="18">
        <v>43971.0</v>
      </c>
      <c r="B319" s="19" t="s">
        <v>16</v>
      </c>
      <c r="C319" s="19">
        <v>125.0</v>
      </c>
      <c r="D319" s="19">
        <v>21674.0</v>
      </c>
      <c r="E319" s="19">
        <v>20155.0</v>
      </c>
      <c r="G319" s="9" t="str">
        <f t="shared" si="1"/>
        <v>43971|Санкт-Петербург Север</v>
      </c>
    </row>
    <row r="320" ht="14.25" customHeight="1">
      <c r="A320" s="18">
        <v>43971.0</v>
      </c>
      <c r="B320" s="19" t="s">
        <v>18</v>
      </c>
      <c r="C320" s="19">
        <v>129.0</v>
      </c>
      <c r="D320" s="19">
        <v>17095.0</v>
      </c>
      <c r="E320" s="19">
        <v>15919.0</v>
      </c>
      <c r="G320" s="9" t="str">
        <f t="shared" si="1"/>
        <v>43971|Санкт-Петербург Юг</v>
      </c>
    </row>
    <row r="321" ht="14.25" customHeight="1">
      <c r="A321" s="18">
        <v>43971.0</v>
      </c>
      <c r="B321" s="19" t="s">
        <v>25</v>
      </c>
      <c r="C321" s="19">
        <v>10.0</v>
      </c>
      <c r="D321" s="19">
        <v>745.0</v>
      </c>
      <c r="E321" s="19">
        <v>654.0</v>
      </c>
      <c r="G321" s="9" t="str">
        <f t="shared" si="1"/>
        <v>43971|Тольятти</v>
      </c>
    </row>
    <row r="322" ht="14.25" customHeight="1">
      <c r="A322" s="18">
        <v>43972.0</v>
      </c>
      <c r="B322" s="19" t="s">
        <v>20</v>
      </c>
      <c r="C322" s="19">
        <v>36.0</v>
      </c>
      <c r="D322" s="19">
        <v>4816.0</v>
      </c>
      <c r="E322" s="19">
        <v>4452.0</v>
      </c>
      <c r="G322" s="9" t="str">
        <f t="shared" si="1"/>
        <v>43972|Волгоград</v>
      </c>
    </row>
    <row r="323" ht="14.25" customHeight="1">
      <c r="A323" s="18">
        <v>43972.0</v>
      </c>
      <c r="B323" s="19" t="s">
        <v>17</v>
      </c>
      <c r="C323" s="19">
        <v>31.0</v>
      </c>
      <c r="D323" s="19">
        <v>5207.0</v>
      </c>
      <c r="E323" s="19">
        <v>4868.0</v>
      </c>
      <c r="G323" s="9" t="str">
        <f t="shared" si="1"/>
        <v>43972|Екатеринбург</v>
      </c>
    </row>
    <row r="324" ht="14.25" customHeight="1">
      <c r="A324" s="18">
        <v>43972.0</v>
      </c>
      <c r="B324" s="19" t="s">
        <v>19</v>
      </c>
      <c r="C324" s="19">
        <v>21.0</v>
      </c>
      <c r="D324" s="19">
        <v>2335.0</v>
      </c>
      <c r="E324" s="19">
        <v>2126.0</v>
      </c>
      <c r="G324" s="9" t="str">
        <f t="shared" si="1"/>
        <v>43972|Казань</v>
      </c>
    </row>
    <row r="325" ht="14.25" customHeight="1">
      <c r="A325" s="18">
        <v>43972.0</v>
      </c>
      <c r="B325" s="19" t="s">
        <v>10</v>
      </c>
      <c r="C325" s="19">
        <v>21.0</v>
      </c>
      <c r="D325" s="19">
        <v>1787.0</v>
      </c>
      <c r="E325" s="19">
        <v>1626.0</v>
      </c>
      <c r="G325" s="9" t="str">
        <f t="shared" si="1"/>
        <v>43972|Кемерово</v>
      </c>
    </row>
    <row r="326" ht="14.25" customHeight="1">
      <c r="A326" s="18">
        <v>43972.0</v>
      </c>
      <c r="B326" s="19" t="s">
        <v>22</v>
      </c>
      <c r="C326" s="19">
        <v>19.0</v>
      </c>
      <c r="D326" s="19">
        <v>1650.0</v>
      </c>
      <c r="E326" s="19">
        <v>1505.0</v>
      </c>
      <c r="G326" s="9" t="str">
        <f t="shared" si="1"/>
        <v>43972|Краснодар</v>
      </c>
    </row>
    <row r="327" ht="14.25" customHeight="1">
      <c r="A327" s="18">
        <v>43972.0</v>
      </c>
      <c r="B327" s="19" t="s">
        <v>13</v>
      </c>
      <c r="C327" s="19">
        <v>54.0</v>
      </c>
      <c r="D327" s="19">
        <v>13240.0</v>
      </c>
      <c r="E327" s="19">
        <v>12360.0</v>
      </c>
      <c r="G327" s="9" t="str">
        <f t="shared" si="1"/>
        <v>43972|Москва Восток</v>
      </c>
    </row>
    <row r="328" ht="14.25" customHeight="1">
      <c r="A328" s="18">
        <v>43972.0</v>
      </c>
      <c r="B328" s="19" t="s">
        <v>15</v>
      </c>
      <c r="C328" s="19">
        <v>60.0</v>
      </c>
      <c r="D328" s="19">
        <v>14005.0</v>
      </c>
      <c r="E328" s="19">
        <v>13002.0</v>
      </c>
      <c r="G328" s="9" t="str">
        <f t="shared" si="1"/>
        <v>43972|Москва Запад</v>
      </c>
    </row>
    <row r="329" ht="14.25" customHeight="1">
      <c r="A329" s="18">
        <v>43972.0</v>
      </c>
      <c r="B329" s="19" t="s">
        <v>21</v>
      </c>
      <c r="C329" s="19">
        <v>19.0</v>
      </c>
      <c r="D329" s="19">
        <v>1949.0</v>
      </c>
      <c r="E329" s="19">
        <v>1724.0</v>
      </c>
      <c r="G329" s="9" t="str">
        <f t="shared" si="1"/>
        <v>43972|Нижний Новгород</v>
      </c>
    </row>
    <row r="330" ht="14.25" customHeight="1">
      <c r="A330" s="18">
        <v>43972.0</v>
      </c>
      <c r="B330" s="19" t="s">
        <v>27</v>
      </c>
      <c r="C330" s="19">
        <v>18.0</v>
      </c>
      <c r="D330" s="19">
        <v>888.0</v>
      </c>
      <c r="E330" s="19">
        <v>786.0</v>
      </c>
      <c r="G330" s="9" t="str">
        <f t="shared" si="1"/>
        <v>43972|Новосибирск</v>
      </c>
    </row>
    <row r="331" ht="14.25" customHeight="1">
      <c r="A331" s="18">
        <v>43972.0</v>
      </c>
      <c r="B331" s="19" t="s">
        <v>26</v>
      </c>
      <c r="C331" s="19">
        <v>17.0</v>
      </c>
      <c r="D331" s="19">
        <v>1045.0</v>
      </c>
      <c r="E331" s="19">
        <v>930.0</v>
      </c>
      <c r="G331" s="9" t="str">
        <f t="shared" si="1"/>
        <v>43972|Пермь</v>
      </c>
    </row>
    <row r="332" ht="14.25" customHeight="1">
      <c r="A332" s="18">
        <v>43972.0</v>
      </c>
      <c r="B332" s="19" t="s">
        <v>24</v>
      </c>
      <c r="C332" s="19">
        <v>15.0</v>
      </c>
      <c r="D332" s="19">
        <v>749.0</v>
      </c>
      <c r="E332" s="19">
        <v>652.0</v>
      </c>
      <c r="G332" s="9" t="str">
        <f t="shared" si="1"/>
        <v>43972|Ростов-на-Дону</v>
      </c>
    </row>
    <row r="333" ht="14.25" customHeight="1">
      <c r="A333" s="18">
        <v>43972.0</v>
      </c>
      <c r="B333" s="19" t="s">
        <v>16</v>
      </c>
      <c r="C333" s="19">
        <v>125.0</v>
      </c>
      <c r="D333" s="19">
        <v>20911.0</v>
      </c>
      <c r="E333" s="19">
        <v>19358.0</v>
      </c>
      <c r="G333" s="9" t="str">
        <f t="shared" si="1"/>
        <v>43972|Санкт-Петербург Север</v>
      </c>
    </row>
    <row r="334" ht="14.25" customHeight="1">
      <c r="A334" s="18">
        <v>43972.0</v>
      </c>
      <c r="B334" s="19" t="s">
        <v>18</v>
      </c>
      <c r="C334" s="19">
        <v>129.0</v>
      </c>
      <c r="D334" s="19">
        <v>16373.0</v>
      </c>
      <c r="E334" s="19">
        <v>15223.0</v>
      </c>
      <c r="G334" s="9" t="str">
        <f t="shared" si="1"/>
        <v>43972|Санкт-Петербург Юг</v>
      </c>
    </row>
    <row r="335" ht="14.25" customHeight="1">
      <c r="A335" s="18">
        <v>43972.0</v>
      </c>
      <c r="B335" s="19" t="s">
        <v>25</v>
      </c>
      <c r="C335" s="19">
        <v>10.0</v>
      </c>
      <c r="D335" s="19">
        <v>677.0</v>
      </c>
      <c r="E335" s="19">
        <v>591.0</v>
      </c>
      <c r="G335" s="9" t="str">
        <f t="shared" si="1"/>
        <v>43972|Тольятти</v>
      </c>
    </row>
    <row r="336" ht="14.25" customHeight="1">
      <c r="A336" s="18">
        <v>43973.0</v>
      </c>
      <c r="B336" s="19" t="s">
        <v>20</v>
      </c>
      <c r="C336" s="19">
        <v>36.0</v>
      </c>
      <c r="D336" s="19">
        <v>4857.0</v>
      </c>
      <c r="E336" s="19">
        <v>4456.0</v>
      </c>
      <c r="G336" s="9" t="str">
        <f t="shared" si="1"/>
        <v>43973|Волгоград</v>
      </c>
    </row>
    <row r="337" ht="14.25" customHeight="1">
      <c r="A337" s="18">
        <v>43973.0</v>
      </c>
      <c r="B337" s="19" t="s">
        <v>17</v>
      </c>
      <c r="C337" s="19">
        <v>31.0</v>
      </c>
      <c r="D337" s="19">
        <v>5965.0</v>
      </c>
      <c r="E337" s="19">
        <v>5533.0</v>
      </c>
      <c r="G337" s="9" t="str">
        <f t="shared" si="1"/>
        <v>43973|Екатеринбург</v>
      </c>
    </row>
    <row r="338" ht="14.25" customHeight="1">
      <c r="A338" s="18">
        <v>43973.0</v>
      </c>
      <c r="B338" s="19" t="s">
        <v>19</v>
      </c>
      <c r="C338" s="19">
        <v>21.0</v>
      </c>
      <c r="D338" s="19">
        <v>2861.0</v>
      </c>
      <c r="E338" s="19">
        <v>2612.0</v>
      </c>
      <c r="G338" s="9" t="str">
        <f t="shared" si="1"/>
        <v>43973|Казань</v>
      </c>
    </row>
    <row r="339" ht="14.25" customHeight="1">
      <c r="A339" s="18">
        <v>43973.0</v>
      </c>
      <c r="B339" s="19" t="s">
        <v>10</v>
      </c>
      <c r="C339" s="19">
        <v>21.0</v>
      </c>
      <c r="D339" s="19">
        <v>2046.0</v>
      </c>
      <c r="E339" s="19">
        <v>1853.0</v>
      </c>
      <c r="G339" s="9" t="str">
        <f t="shared" si="1"/>
        <v>43973|Кемерово</v>
      </c>
    </row>
    <row r="340" ht="14.25" customHeight="1">
      <c r="A340" s="18">
        <v>43973.0</v>
      </c>
      <c r="B340" s="19" t="s">
        <v>22</v>
      </c>
      <c r="C340" s="19">
        <v>19.0</v>
      </c>
      <c r="D340" s="19">
        <v>1859.0</v>
      </c>
      <c r="E340" s="19">
        <v>1697.0</v>
      </c>
      <c r="G340" s="9" t="str">
        <f t="shared" si="1"/>
        <v>43973|Краснодар</v>
      </c>
    </row>
    <row r="341" ht="14.25" customHeight="1">
      <c r="A341" s="18">
        <v>43973.0</v>
      </c>
      <c r="B341" s="19" t="s">
        <v>13</v>
      </c>
      <c r="C341" s="19">
        <v>54.0</v>
      </c>
      <c r="D341" s="19">
        <v>13014.0</v>
      </c>
      <c r="E341" s="19">
        <v>12095.0</v>
      </c>
      <c r="G341" s="9" t="str">
        <f t="shared" si="1"/>
        <v>43973|Москва Восток</v>
      </c>
    </row>
    <row r="342" ht="14.25" customHeight="1">
      <c r="A342" s="18">
        <v>43973.0</v>
      </c>
      <c r="B342" s="19" t="s">
        <v>15</v>
      </c>
      <c r="C342" s="19">
        <v>60.0</v>
      </c>
      <c r="D342" s="19">
        <v>14050.0</v>
      </c>
      <c r="E342" s="19">
        <v>13027.0</v>
      </c>
      <c r="G342" s="9" t="str">
        <f t="shared" si="1"/>
        <v>43973|Москва Запад</v>
      </c>
    </row>
    <row r="343" ht="14.25" customHeight="1">
      <c r="A343" s="18">
        <v>43973.0</v>
      </c>
      <c r="B343" s="19" t="s">
        <v>21</v>
      </c>
      <c r="C343" s="19">
        <v>20.0</v>
      </c>
      <c r="D343" s="19">
        <v>2306.0</v>
      </c>
      <c r="E343" s="19">
        <v>2054.0</v>
      </c>
      <c r="G343" s="9" t="str">
        <f t="shared" si="1"/>
        <v>43973|Нижний Новгород</v>
      </c>
    </row>
    <row r="344" ht="14.25" customHeight="1">
      <c r="A344" s="18">
        <v>43973.0</v>
      </c>
      <c r="B344" s="19" t="s">
        <v>27</v>
      </c>
      <c r="C344" s="19">
        <v>18.0</v>
      </c>
      <c r="D344" s="19">
        <v>985.0</v>
      </c>
      <c r="E344" s="19">
        <v>861.0</v>
      </c>
      <c r="G344" s="9" t="str">
        <f t="shared" si="1"/>
        <v>43973|Новосибирск</v>
      </c>
    </row>
    <row r="345" ht="14.25" customHeight="1">
      <c r="A345" s="18">
        <v>43973.0</v>
      </c>
      <c r="B345" s="19" t="s">
        <v>26</v>
      </c>
      <c r="C345" s="19">
        <v>17.0</v>
      </c>
      <c r="D345" s="19">
        <v>1268.0</v>
      </c>
      <c r="E345" s="19">
        <v>1129.0</v>
      </c>
      <c r="G345" s="9" t="str">
        <f t="shared" si="1"/>
        <v>43973|Пермь</v>
      </c>
    </row>
    <row r="346" ht="14.25" customHeight="1">
      <c r="A346" s="18">
        <v>43973.0</v>
      </c>
      <c r="B346" s="19" t="s">
        <v>24</v>
      </c>
      <c r="C346" s="19">
        <v>15.0</v>
      </c>
      <c r="D346" s="19">
        <v>903.0</v>
      </c>
      <c r="E346" s="19">
        <v>792.0</v>
      </c>
      <c r="G346" s="9" t="str">
        <f t="shared" si="1"/>
        <v>43973|Ростов-на-Дону</v>
      </c>
    </row>
    <row r="347" ht="14.25" customHeight="1">
      <c r="A347" s="18">
        <v>43973.0</v>
      </c>
      <c r="B347" s="19" t="s">
        <v>16</v>
      </c>
      <c r="C347" s="19">
        <v>125.0</v>
      </c>
      <c r="D347" s="19">
        <v>21427.0</v>
      </c>
      <c r="E347" s="19">
        <v>19799.0</v>
      </c>
      <c r="G347" s="9" t="str">
        <f t="shared" si="1"/>
        <v>43973|Санкт-Петербург Север</v>
      </c>
    </row>
    <row r="348" ht="14.25" customHeight="1">
      <c r="A348" s="18">
        <v>43973.0</v>
      </c>
      <c r="B348" s="19" t="s">
        <v>18</v>
      </c>
      <c r="C348" s="19">
        <v>129.0</v>
      </c>
      <c r="D348" s="19">
        <v>17088.0</v>
      </c>
      <c r="E348" s="19">
        <v>15804.0</v>
      </c>
      <c r="G348" s="9" t="str">
        <f t="shared" si="1"/>
        <v>43973|Санкт-Петербург Юг</v>
      </c>
    </row>
    <row r="349" ht="14.25" customHeight="1">
      <c r="A349" s="18">
        <v>43973.0</v>
      </c>
      <c r="B349" s="19" t="s">
        <v>25</v>
      </c>
      <c r="C349" s="19">
        <v>10.0</v>
      </c>
      <c r="D349" s="19">
        <v>965.0</v>
      </c>
      <c r="E349" s="19">
        <v>861.0</v>
      </c>
      <c r="G349" s="9" t="str">
        <f t="shared" si="1"/>
        <v>43973|Тольятти</v>
      </c>
    </row>
    <row r="350" ht="14.25" customHeight="1">
      <c r="A350" s="18">
        <v>43974.0</v>
      </c>
      <c r="B350" s="19" t="s">
        <v>20</v>
      </c>
      <c r="C350" s="19">
        <v>36.0</v>
      </c>
      <c r="D350" s="19">
        <v>5651.0</v>
      </c>
      <c r="E350" s="19">
        <v>5212.0</v>
      </c>
      <c r="G350" s="9" t="str">
        <f t="shared" si="1"/>
        <v>43974|Волгоград</v>
      </c>
    </row>
    <row r="351" ht="14.25" customHeight="1">
      <c r="A351" s="18">
        <v>43974.0</v>
      </c>
      <c r="B351" s="19" t="s">
        <v>17</v>
      </c>
      <c r="C351" s="19">
        <v>31.0</v>
      </c>
      <c r="D351" s="19">
        <v>6276.0</v>
      </c>
      <c r="E351" s="19">
        <v>5801.0</v>
      </c>
      <c r="G351" s="9" t="str">
        <f t="shared" si="1"/>
        <v>43974|Екатеринбург</v>
      </c>
    </row>
    <row r="352" ht="14.25" customHeight="1">
      <c r="A352" s="18">
        <v>43974.0</v>
      </c>
      <c r="B352" s="19" t="s">
        <v>19</v>
      </c>
      <c r="C352" s="19">
        <v>21.0</v>
      </c>
      <c r="D352" s="19">
        <v>2460.0</v>
      </c>
      <c r="E352" s="19">
        <v>2226.0</v>
      </c>
      <c r="G352" s="9" t="str">
        <f t="shared" si="1"/>
        <v>43974|Казань</v>
      </c>
    </row>
    <row r="353" ht="14.25" customHeight="1">
      <c r="A353" s="18">
        <v>43974.0</v>
      </c>
      <c r="B353" s="19" t="s">
        <v>10</v>
      </c>
      <c r="C353" s="19">
        <v>21.0</v>
      </c>
      <c r="D353" s="19">
        <v>2340.0</v>
      </c>
      <c r="E353" s="19">
        <v>2146.0</v>
      </c>
      <c r="G353" s="9" t="str">
        <f t="shared" si="1"/>
        <v>43974|Кемерово</v>
      </c>
    </row>
    <row r="354" ht="14.25" customHeight="1">
      <c r="A354" s="18">
        <v>43974.0</v>
      </c>
      <c r="B354" s="19" t="s">
        <v>22</v>
      </c>
      <c r="C354" s="19">
        <v>19.0</v>
      </c>
      <c r="D354" s="19">
        <v>2195.0</v>
      </c>
      <c r="E354" s="19">
        <v>1999.0</v>
      </c>
      <c r="G354" s="9" t="str">
        <f t="shared" si="1"/>
        <v>43974|Краснодар</v>
      </c>
    </row>
    <row r="355" ht="14.25" customHeight="1">
      <c r="A355" s="18">
        <v>43974.0</v>
      </c>
      <c r="B355" s="19" t="s">
        <v>13</v>
      </c>
      <c r="C355" s="19">
        <v>54.0</v>
      </c>
      <c r="D355" s="19">
        <v>16221.0</v>
      </c>
      <c r="E355" s="19">
        <v>15065.0</v>
      </c>
      <c r="G355" s="9" t="str">
        <f t="shared" si="1"/>
        <v>43974|Москва Восток</v>
      </c>
    </row>
    <row r="356" ht="14.25" customHeight="1">
      <c r="A356" s="18">
        <v>43974.0</v>
      </c>
      <c r="B356" s="19" t="s">
        <v>15</v>
      </c>
      <c r="C356" s="19">
        <v>60.0</v>
      </c>
      <c r="D356" s="19">
        <v>17295.0</v>
      </c>
      <c r="E356" s="19">
        <v>16010.0</v>
      </c>
      <c r="G356" s="9" t="str">
        <f t="shared" si="1"/>
        <v>43974|Москва Запад</v>
      </c>
    </row>
    <row r="357" ht="14.25" customHeight="1">
      <c r="A357" s="18">
        <v>43974.0</v>
      </c>
      <c r="B357" s="19" t="s">
        <v>21</v>
      </c>
      <c r="C357" s="19">
        <v>20.0</v>
      </c>
      <c r="D357" s="19">
        <v>2266.0</v>
      </c>
      <c r="E357" s="19">
        <v>1993.0</v>
      </c>
      <c r="G357" s="9" t="str">
        <f t="shared" si="1"/>
        <v>43974|Нижний Новгород</v>
      </c>
    </row>
    <row r="358" ht="14.25" customHeight="1">
      <c r="A358" s="18">
        <v>43974.0</v>
      </c>
      <c r="B358" s="19" t="s">
        <v>27</v>
      </c>
      <c r="C358" s="19">
        <v>18.0</v>
      </c>
      <c r="D358" s="19">
        <v>1031.0</v>
      </c>
      <c r="E358" s="19">
        <v>918.0</v>
      </c>
      <c r="G358" s="9" t="str">
        <f t="shared" si="1"/>
        <v>43974|Новосибирск</v>
      </c>
    </row>
    <row r="359" ht="14.25" customHeight="1">
      <c r="A359" s="18">
        <v>43974.0</v>
      </c>
      <c r="B359" s="19" t="s">
        <v>26</v>
      </c>
      <c r="C359" s="19">
        <v>17.0</v>
      </c>
      <c r="D359" s="19">
        <v>1294.0</v>
      </c>
      <c r="E359" s="19">
        <v>1155.0</v>
      </c>
      <c r="G359" s="9" t="str">
        <f t="shared" si="1"/>
        <v>43974|Пермь</v>
      </c>
    </row>
    <row r="360" ht="14.25" customHeight="1">
      <c r="A360" s="18">
        <v>43974.0</v>
      </c>
      <c r="B360" s="19" t="s">
        <v>24</v>
      </c>
      <c r="C360" s="19">
        <v>15.0</v>
      </c>
      <c r="D360" s="19">
        <v>840.0</v>
      </c>
      <c r="E360" s="19">
        <v>725.0</v>
      </c>
      <c r="G360" s="9" t="str">
        <f t="shared" si="1"/>
        <v>43974|Ростов-на-Дону</v>
      </c>
    </row>
    <row r="361" ht="14.25" customHeight="1">
      <c r="A361" s="18">
        <v>43974.0</v>
      </c>
      <c r="B361" s="19" t="s">
        <v>16</v>
      </c>
      <c r="C361" s="19">
        <v>125.0</v>
      </c>
      <c r="D361" s="19">
        <v>24574.0</v>
      </c>
      <c r="E361" s="19">
        <v>22609.0</v>
      </c>
      <c r="G361" s="9" t="str">
        <f t="shared" si="1"/>
        <v>43974|Санкт-Петербург Север</v>
      </c>
    </row>
    <row r="362" ht="14.25" customHeight="1">
      <c r="A362" s="18">
        <v>43974.0</v>
      </c>
      <c r="B362" s="19" t="s">
        <v>18</v>
      </c>
      <c r="C362" s="19">
        <v>129.0</v>
      </c>
      <c r="D362" s="19">
        <v>19856.0</v>
      </c>
      <c r="E362" s="19">
        <v>18325.0</v>
      </c>
      <c r="G362" s="9" t="str">
        <f t="shared" si="1"/>
        <v>43974|Санкт-Петербург Юг</v>
      </c>
    </row>
    <row r="363" ht="14.25" customHeight="1">
      <c r="A363" s="18">
        <v>43974.0</v>
      </c>
      <c r="B363" s="19" t="s">
        <v>25</v>
      </c>
      <c r="C363" s="19">
        <v>10.0</v>
      </c>
      <c r="D363" s="19">
        <v>828.0</v>
      </c>
      <c r="E363" s="19">
        <v>734.0</v>
      </c>
      <c r="G363" s="9" t="str">
        <f t="shared" si="1"/>
        <v>43974|Тольятти</v>
      </c>
    </row>
    <row r="364" ht="14.25" customHeight="1">
      <c r="A364" s="18">
        <v>43975.0</v>
      </c>
      <c r="B364" s="19" t="s">
        <v>20</v>
      </c>
      <c r="C364" s="19">
        <v>36.0</v>
      </c>
      <c r="D364" s="19">
        <v>4915.0</v>
      </c>
      <c r="E364" s="19">
        <v>4562.0</v>
      </c>
      <c r="G364" s="9" t="str">
        <f t="shared" si="1"/>
        <v>43975|Волгоград</v>
      </c>
    </row>
    <row r="365" ht="14.25" customHeight="1">
      <c r="A365" s="18">
        <v>43975.0</v>
      </c>
      <c r="B365" s="19" t="s">
        <v>17</v>
      </c>
      <c r="C365" s="19">
        <v>31.0</v>
      </c>
      <c r="D365" s="19">
        <v>5035.0</v>
      </c>
      <c r="E365" s="19">
        <v>4683.0</v>
      </c>
      <c r="G365" s="9" t="str">
        <f t="shared" si="1"/>
        <v>43975|Екатеринбург</v>
      </c>
    </row>
    <row r="366" ht="14.25" customHeight="1">
      <c r="A366" s="18">
        <v>43975.0</v>
      </c>
      <c r="B366" s="19" t="s">
        <v>19</v>
      </c>
      <c r="C366" s="19">
        <v>21.0</v>
      </c>
      <c r="D366" s="19">
        <v>2254.0</v>
      </c>
      <c r="E366" s="19">
        <v>2061.0</v>
      </c>
      <c r="G366" s="9" t="str">
        <f t="shared" si="1"/>
        <v>43975|Казань</v>
      </c>
    </row>
    <row r="367" ht="14.25" customHeight="1">
      <c r="A367" s="18">
        <v>43975.0</v>
      </c>
      <c r="B367" s="19" t="s">
        <v>10</v>
      </c>
      <c r="C367" s="19">
        <v>20.0</v>
      </c>
      <c r="D367" s="19">
        <v>1999.0</v>
      </c>
      <c r="E367" s="19">
        <v>1829.0</v>
      </c>
      <c r="G367" s="9" t="str">
        <f t="shared" si="1"/>
        <v>43975|Кемерово</v>
      </c>
    </row>
    <row r="368" ht="14.25" customHeight="1">
      <c r="A368" s="18">
        <v>43975.0</v>
      </c>
      <c r="B368" s="19" t="s">
        <v>22</v>
      </c>
      <c r="C368" s="19">
        <v>19.0</v>
      </c>
      <c r="D368" s="19">
        <v>1868.0</v>
      </c>
      <c r="E368" s="19">
        <v>1706.0</v>
      </c>
      <c r="G368" s="9" t="str">
        <f t="shared" si="1"/>
        <v>43975|Краснодар</v>
      </c>
    </row>
    <row r="369" ht="14.25" customHeight="1">
      <c r="A369" s="18">
        <v>43975.0</v>
      </c>
      <c r="B369" s="19" t="s">
        <v>13</v>
      </c>
      <c r="C369" s="19">
        <v>54.0</v>
      </c>
      <c r="D369" s="19">
        <v>12211.0</v>
      </c>
      <c r="E369" s="19">
        <v>11427.0</v>
      </c>
      <c r="G369" s="9" t="str">
        <f t="shared" si="1"/>
        <v>43975|Москва Восток</v>
      </c>
    </row>
    <row r="370" ht="14.25" customHeight="1">
      <c r="A370" s="18">
        <v>43975.0</v>
      </c>
      <c r="B370" s="19" t="s">
        <v>15</v>
      </c>
      <c r="C370" s="19">
        <v>60.0</v>
      </c>
      <c r="D370" s="19">
        <v>12822.0</v>
      </c>
      <c r="E370" s="19">
        <v>11916.0</v>
      </c>
      <c r="G370" s="9" t="str">
        <f t="shared" si="1"/>
        <v>43975|Москва Запад</v>
      </c>
    </row>
    <row r="371" ht="14.25" customHeight="1">
      <c r="A371" s="18">
        <v>43975.0</v>
      </c>
      <c r="B371" s="19" t="s">
        <v>21</v>
      </c>
      <c r="C371" s="19">
        <v>20.0</v>
      </c>
      <c r="D371" s="19">
        <v>2015.0</v>
      </c>
      <c r="E371" s="19">
        <v>1803.0</v>
      </c>
      <c r="G371" s="9" t="str">
        <f t="shared" si="1"/>
        <v>43975|Нижний Новгород</v>
      </c>
    </row>
    <row r="372" ht="14.25" customHeight="1">
      <c r="A372" s="18">
        <v>43975.0</v>
      </c>
      <c r="B372" s="19" t="s">
        <v>27</v>
      </c>
      <c r="C372" s="19">
        <v>18.0</v>
      </c>
      <c r="D372" s="19">
        <v>1006.0</v>
      </c>
      <c r="E372" s="19">
        <v>904.0</v>
      </c>
      <c r="G372" s="9" t="str">
        <f t="shared" si="1"/>
        <v>43975|Новосибирск</v>
      </c>
    </row>
    <row r="373" ht="14.25" customHeight="1">
      <c r="A373" s="18">
        <v>43975.0</v>
      </c>
      <c r="B373" s="19" t="s">
        <v>26</v>
      </c>
      <c r="C373" s="19">
        <v>17.0</v>
      </c>
      <c r="D373" s="19">
        <v>1128.0</v>
      </c>
      <c r="E373" s="19">
        <v>1001.0</v>
      </c>
      <c r="G373" s="9" t="str">
        <f t="shared" si="1"/>
        <v>43975|Пермь</v>
      </c>
    </row>
    <row r="374" ht="14.25" customHeight="1">
      <c r="A374" s="18">
        <v>43975.0</v>
      </c>
      <c r="B374" s="19" t="s">
        <v>24</v>
      </c>
      <c r="C374" s="19">
        <v>15.0</v>
      </c>
      <c r="D374" s="19">
        <v>779.0</v>
      </c>
      <c r="E374" s="19">
        <v>673.0</v>
      </c>
      <c r="G374" s="9" t="str">
        <f t="shared" si="1"/>
        <v>43975|Ростов-на-Дону</v>
      </c>
    </row>
    <row r="375" ht="14.25" customHeight="1">
      <c r="A375" s="18">
        <v>43975.0</v>
      </c>
      <c r="B375" s="19" t="s">
        <v>16</v>
      </c>
      <c r="C375" s="19">
        <v>125.0</v>
      </c>
      <c r="D375" s="19">
        <v>21004.0</v>
      </c>
      <c r="E375" s="19">
        <v>19556.0</v>
      </c>
      <c r="G375" s="9" t="str">
        <f t="shared" si="1"/>
        <v>43975|Санкт-Петербург Север</v>
      </c>
    </row>
    <row r="376" ht="14.25" customHeight="1">
      <c r="A376" s="18">
        <v>43975.0</v>
      </c>
      <c r="B376" s="19" t="s">
        <v>18</v>
      </c>
      <c r="C376" s="19">
        <v>129.0</v>
      </c>
      <c r="D376" s="19">
        <v>16432.0</v>
      </c>
      <c r="E376" s="19">
        <v>15345.0</v>
      </c>
      <c r="G376" s="9" t="str">
        <f t="shared" si="1"/>
        <v>43975|Санкт-Петербург Юг</v>
      </c>
    </row>
    <row r="377" ht="14.25" customHeight="1">
      <c r="A377" s="18">
        <v>43975.0</v>
      </c>
      <c r="B377" s="19" t="s">
        <v>25</v>
      </c>
      <c r="C377" s="19">
        <v>10.0</v>
      </c>
      <c r="D377" s="19">
        <v>639.0</v>
      </c>
      <c r="E377" s="19">
        <v>557.0</v>
      </c>
      <c r="G377" s="9" t="str">
        <f t="shared" si="1"/>
        <v>43975|Тольятти</v>
      </c>
    </row>
    <row r="378" ht="14.25" customHeight="1">
      <c r="A378" s="18">
        <v>43976.0</v>
      </c>
      <c r="B378" s="19" t="s">
        <v>20</v>
      </c>
      <c r="C378" s="19">
        <v>36.0</v>
      </c>
      <c r="D378" s="19">
        <v>4641.0</v>
      </c>
      <c r="E378" s="19">
        <v>4274.0</v>
      </c>
      <c r="G378" s="9" t="str">
        <f t="shared" si="1"/>
        <v>43976|Волгоград</v>
      </c>
    </row>
    <row r="379" ht="14.25" customHeight="1">
      <c r="A379" s="18">
        <v>43976.0</v>
      </c>
      <c r="B379" s="19" t="s">
        <v>17</v>
      </c>
      <c r="C379" s="19">
        <v>31.0</v>
      </c>
      <c r="D379" s="19">
        <v>5210.0</v>
      </c>
      <c r="E379" s="19">
        <v>4841.0</v>
      </c>
      <c r="G379" s="9" t="str">
        <f t="shared" si="1"/>
        <v>43976|Екатеринбург</v>
      </c>
    </row>
    <row r="380" ht="14.25" customHeight="1">
      <c r="A380" s="18">
        <v>43976.0</v>
      </c>
      <c r="B380" s="19" t="s">
        <v>19</v>
      </c>
      <c r="C380" s="19">
        <v>21.0</v>
      </c>
      <c r="D380" s="19">
        <v>2330.0</v>
      </c>
      <c r="E380" s="19">
        <v>2142.0</v>
      </c>
      <c r="G380" s="9" t="str">
        <f t="shared" si="1"/>
        <v>43976|Казань</v>
      </c>
    </row>
    <row r="381" ht="14.25" customHeight="1">
      <c r="A381" s="18">
        <v>43976.0</v>
      </c>
      <c r="B381" s="19" t="s">
        <v>10</v>
      </c>
      <c r="C381" s="19">
        <v>20.0</v>
      </c>
      <c r="D381" s="19">
        <v>2087.0</v>
      </c>
      <c r="E381" s="19">
        <v>1914.0</v>
      </c>
      <c r="G381" s="9" t="str">
        <f t="shared" si="1"/>
        <v>43976|Кемерово</v>
      </c>
    </row>
    <row r="382" ht="14.25" customHeight="1">
      <c r="A382" s="18">
        <v>43976.0</v>
      </c>
      <c r="B382" s="19" t="s">
        <v>22</v>
      </c>
      <c r="C382" s="19">
        <v>20.0</v>
      </c>
      <c r="D382" s="19">
        <v>1899.0</v>
      </c>
      <c r="E382" s="19">
        <v>1738.0</v>
      </c>
      <c r="G382" s="9" t="str">
        <f t="shared" si="1"/>
        <v>43976|Краснодар</v>
      </c>
    </row>
    <row r="383" ht="14.25" customHeight="1">
      <c r="A383" s="18">
        <v>43976.0</v>
      </c>
      <c r="B383" s="19" t="s">
        <v>13</v>
      </c>
      <c r="C383" s="19">
        <v>54.0</v>
      </c>
      <c r="D383" s="19">
        <v>12336.0</v>
      </c>
      <c r="E383" s="19">
        <v>11519.0</v>
      </c>
      <c r="G383" s="9" t="str">
        <f t="shared" si="1"/>
        <v>43976|Москва Восток</v>
      </c>
    </row>
    <row r="384" ht="14.25" customHeight="1">
      <c r="A384" s="18">
        <v>43976.0</v>
      </c>
      <c r="B384" s="19" t="s">
        <v>15</v>
      </c>
      <c r="C384" s="19">
        <v>59.0</v>
      </c>
      <c r="D384" s="19">
        <v>12983.0</v>
      </c>
      <c r="E384" s="19">
        <v>12056.0</v>
      </c>
      <c r="G384" s="9" t="str">
        <f t="shared" si="1"/>
        <v>43976|Москва Запад</v>
      </c>
    </row>
    <row r="385" ht="14.25" customHeight="1">
      <c r="A385" s="18">
        <v>43976.0</v>
      </c>
      <c r="B385" s="19" t="s">
        <v>21</v>
      </c>
      <c r="C385" s="19">
        <v>20.0</v>
      </c>
      <c r="D385" s="19">
        <v>2011.0</v>
      </c>
      <c r="E385" s="19">
        <v>1791.0</v>
      </c>
      <c r="G385" s="9" t="str">
        <f t="shared" si="1"/>
        <v>43976|Нижний Новгород</v>
      </c>
    </row>
    <row r="386" ht="14.25" customHeight="1">
      <c r="A386" s="18">
        <v>43976.0</v>
      </c>
      <c r="B386" s="19" t="s">
        <v>27</v>
      </c>
      <c r="C386" s="19">
        <v>18.0</v>
      </c>
      <c r="D386" s="19">
        <v>989.0</v>
      </c>
      <c r="E386" s="19">
        <v>887.0</v>
      </c>
      <c r="G386" s="9" t="str">
        <f t="shared" si="1"/>
        <v>43976|Новосибирск</v>
      </c>
    </row>
    <row r="387" ht="14.25" customHeight="1">
      <c r="A387" s="18">
        <v>43976.0</v>
      </c>
      <c r="B387" s="19" t="s">
        <v>26</v>
      </c>
      <c r="C387" s="19">
        <v>17.0</v>
      </c>
      <c r="D387" s="19">
        <v>1142.0</v>
      </c>
      <c r="E387" s="19">
        <v>1020.0</v>
      </c>
      <c r="G387" s="9" t="str">
        <f t="shared" si="1"/>
        <v>43976|Пермь</v>
      </c>
    </row>
    <row r="388" ht="14.25" customHeight="1">
      <c r="A388" s="18">
        <v>43976.0</v>
      </c>
      <c r="B388" s="19" t="s">
        <v>24</v>
      </c>
      <c r="C388" s="19">
        <v>15.0</v>
      </c>
      <c r="D388" s="19">
        <v>835.0</v>
      </c>
      <c r="E388" s="19">
        <v>736.0</v>
      </c>
      <c r="G388" s="9" t="str">
        <f t="shared" si="1"/>
        <v>43976|Ростов-на-Дону</v>
      </c>
    </row>
    <row r="389" ht="14.25" customHeight="1">
      <c r="A389" s="18">
        <v>43976.0</v>
      </c>
      <c r="B389" s="19" t="s">
        <v>16</v>
      </c>
      <c r="C389" s="19">
        <v>124.0</v>
      </c>
      <c r="D389" s="19">
        <v>20358.0</v>
      </c>
      <c r="E389" s="19">
        <v>18890.0</v>
      </c>
      <c r="G389" s="9" t="str">
        <f t="shared" si="1"/>
        <v>43976|Санкт-Петербург Север</v>
      </c>
    </row>
    <row r="390" ht="14.25" customHeight="1">
      <c r="A390" s="18">
        <v>43976.0</v>
      </c>
      <c r="B390" s="19" t="s">
        <v>18</v>
      </c>
      <c r="C390" s="19">
        <v>129.0</v>
      </c>
      <c r="D390" s="19">
        <v>15822.0</v>
      </c>
      <c r="E390" s="19">
        <v>14753.0</v>
      </c>
      <c r="G390" s="9" t="str">
        <f t="shared" si="1"/>
        <v>43976|Санкт-Петербург Юг</v>
      </c>
    </row>
    <row r="391" ht="14.25" customHeight="1">
      <c r="A391" s="18">
        <v>43976.0</v>
      </c>
      <c r="B391" s="19" t="s">
        <v>25</v>
      </c>
      <c r="C391" s="19">
        <v>10.0</v>
      </c>
      <c r="D391" s="19">
        <v>739.0</v>
      </c>
      <c r="E391" s="19">
        <v>642.0</v>
      </c>
      <c r="G391" s="9" t="str">
        <f t="shared" si="1"/>
        <v>43976|Тольятти</v>
      </c>
    </row>
    <row r="392" ht="14.25" customHeight="1">
      <c r="A392" s="18">
        <v>43977.0</v>
      </c>
      <c r="B392" s="19" t="s">
        <v>20</v>
      </c>
      <c r="C392" s="19">
        <v>36.0</v>
      </c>
      <c r="D392" s="19">
        <v>4770.0</v>
      </c>
      <c r="E392" s="19">
        <v>4424.0</v>
      </c>
      <c r="G392" s="9" t="str">
        <f t="shared" si="1"/>
        <v>43977|Волгоград</v>
      </c>
    </row>
    <row r="393" ht="14.25" customHeight="1">
      <c r="A393" s="18">
        <v>43977.0</v>
      </c>
      <c r="B393" s="19" t="s">
        <v>17</v>
      </c>
      <c r="C393" s="19">
        <v>31.0</v>
      </c>
      <c r="D393" s="19">
        <v>5493.0</v>
      </c>
      <c r="E393" s="19">
        <v>5119.0</v>
      </c>
      <c r="G393" s="9" t="str">
        <f t="shared" si="1"/>
        <v>43977|Екатеринбург</v>
      </c>
    </row>
    <row r="394" ht="14.25" customHeight="1">
      <c r="A394" s="18">
        <v>43977.0</v>
      </c>
      <c r="B394" s="19" t="s">
        <v>19</v>
      </c>
      <c r="C394" s="19">
        <v>21.0</v>
      </c>
      <c r="D394" s="19">
        <v>2418.0</v>
      </c>
      <c r="E394" s="19">
        <v>2215.0</v>
      </c>
      <c r="G394" s="9" t="str">
        <f t="shared" si="1"/>
        <v>43977|Казань</v>
      </c>
    </row>
    <row r="395" ht="14.25" customHeight="1">
      <c r="A395" s="18">
        <v>43977.0</v>
      </c>
      <c r="B395" s="19" t="s">
        <v>10</v>
      </c>
      <c r="C395" s="19">
        <v>20.0</v>
      </c>
      <c r="D395" s="19">
        <v>2044.0</v>
      </c>
      <c r="E395" s="19">
        <v>1863.0</v>
      </c>
      <c r="G395" s="9" t="str">
        <f t="shared" si="1"/>
        <v>43977|Кемерово</v>
      </c>
    </row>
    <row r="396" ht="14.25" customHeight="1">
      <c r="A396" s="18">
        <v>43977.0</v>
      </c>
      <c r="B396" s="19" t="s">
        <v>22</v>
      </c>
      <c r="C396" s="19">
        <v>20.0</v>
      </c>
      <c r="D396" s="19">
        <v>1814.0</v>
      </c>
      <c r="E396" s="19">
        <v>1655.0</v>
      </c>
      <c r="G396" s="9" t="str">
        <f t="shared" si="1"/>
        <v>43977|Краснодар</v>
      </c>
    </row>
    <row r="397" ht="14.25" customHeight="1">
      <c r="A397" s="18">
        <v>43977.0</v>
      </c>
      <c r="B397" s="19" t="s">
        <v>13</v>
      </c>
      <c r="C397" s="19">
        <v>54.0</v>
      </c>
      <c r="D397" s="19">
        <v>14482.0</v>
      </c>
      <c r="E397" s="19">
        <v>13510.0</v>
      </c>
      <c r="G397" s="9" t="str">
        <f t="shared" si="1"/>
        <v>43977|Москва Восток</v>
      </c>
    </row>
    <row r="398" ht="14.25" customHeight="1">
      <c r="A398" s="18">
        <v>43977.0</v>
      </c>
      <c r="B398" s="19" t="s">
        <v>15</v>
      </c>
      <c r="C398" s="19">
        <v>59.0</v>
      </c>
      <c r="D398" s="19">
        <v>15369.0</v>
      </c>
      <c r="E398" s="19">
        <v>14299.0</v>
      </c>
      <c r="G398" s="9" t="str">
        <f t="shared" si="1"/>
        <v>43977|Москва Запад</v>
      </c>
    </row>
    <row r="399" ht="14.25" customHeight="1">
      <c r="A399" s="18">
        <v>43977.0</v>
      </c>
      <c r="B399" s="19" t="s">
        <v>21</v>
      </c>
      <c r="C399" s="19">
        <v>20.0</v>
      </c>
      <c r="D399" s="19">
        <v>2036.0</v>
      </c>
      <c r="E399" s="19">
        <v>1790.0</v>
      </c>
      <c r="G399" s="9" t="str">
        <f t="shared" si="1"/>
        <v>43977|Нижний Новгород</v>
      </c>
    </row>
    <row r="400" ht="14.25" customHeight="1">
      <c r="A400" s="18">
        <v>43977.0</v>
      </c>
      <c r="B400" s="19" t="s">
        <v>27</v>
      </c>
      <c r="C400" s="19">
        <v>18.0</v>
      </c>
      <c r="D400" s="19">
        <v>914.0</v>
      </c>
      <c r="E400" s="19">
        <v>804.0</v>
      </c>
      <c r="G400" s="9" t="str">
        <f t="shared" si="1"/>
        <v>43977|Новосибирск</v>
      </c>
    </row>
    <row r="401" ht="14.25" customHeight="1">
      <c r="A401" s="18">
        <v>43977.0</v>
      </c>
      <c r="B401" s="19" t="s">
        <v>26</v>
      </c>
      <c r="C401" s="19">
        <v>17.0</v>
      </c>
      <c r="D401" s="19">
        <v>1140.0</v>
      </c>
      <c r="E401" s="19">
        <v>1016.0</v>
      </c>
      <c r="G401" s="9" t="str">
        <f t="shared" si="1"/>
        <v>43977|Пермь</v>
      </c>
    </row>
    <row r="402" ht="14.25" customHeight="1">
      <c r="A402" s="18">
        <v>43977.0</v>
      </c>
      <c r="B402" s="19" t="s">
        <v>24</v>
      </c>
      <c r="C402" s="19">
        <v>15.0</v>
      </c>
      <c r="D402" s="19">
        <v>812.0</v>
      </c>
      <c r="E402" s="19">
        <v>711.0</v>
      </c>
      <c r="G402" s="9" t="str">
        <f t="shared" si="1"/>
        <v>43977|Ростов-на-Дону</v>
      </c>
    </row>
    <row r="403" ht="14.25" customHeight="1">
      <c r="A403" s="18">
        <v>43977.0</v>
      </c>
      <c r="B403" s="19" t="s">
        <v>16</v>
      </c>
      <c r="C403" s="19">
        <v>124.0</v>
      </c>
      <c r="D403" s="19">
        <v>21153.0</v>
      </c>
      <c r="E403" s="19">
        <v>19673.0</v>
      </c>
      <c r="G403" s="9" t="str">
        <f t="shared" si="1"/>
        <v>43977|Санкт-Петербург Север</v>
      </c>
    </row>
    <row r="404" ht="14.25" customHeight="1">
      <c r="A404" s="18">
        <v>43977.0</v>
      </c>
      <c r="B404" s="19" t="s">
        <v>18</v>
      </c>
      <c r="C404" s="19">
        <v>129.0</v>
      </c>
      <c r="D404" s="19">
        <v>16459.0</v>
      </c>
      <c r="E404" s="19">
        <v>15355.0</v>
      </c>
      <c r="G404" s="9" t="str">
        <f t="shared" si="1"/>
        <v>43977|Санкт-Петербург Юг</v>
      </c>
    </row>
    <row r="405" ht="14.25" customHeight="1">
      <c r="A405" s="18">
        <v>43977.0</v>
      </c>
      <c r="B405" s="19" t="s">
        <v>25</v>
      </c>
      <c r="C405" s="19">
        <v>10.0</v>
      </c>
      <c r="D405" s="19">
        <v>692.0</v>
      </c>
      <c r="E405" s="19">
        <v>601.0</v>
      </c>
      <c r="G405" s="9" t="str">
        <f t="shared" si="1"/>
        <v>43977|Тольятти</v>
      </c>
    </row>
    <row r="406" ht="14.25" customHeight="1">
      <c r="A406" s="18">
        <v>43977.0</v>
      </c>
      <c r="B406" s="19" t="s">
        <v>23</v>
      </c>
      <c r="C406" s="19">
        <v>7.0</v>
      </c>
      <c r="D406" s="19">
        <v>577.0</v>
      </c>
      <c r="E406" s="19">
        <v>389.0</v>
      </c>
      <c r="G406" s="9" t="str">
        <f t="shared" si="1"/>
        <v>43977|Тюмень</v>
      </c>
    </row>
    <row r="407" ht="14.25" customHeight="1">
      <c r="A407" s="18">
        <v>43978.0</v>
      </c>
      <c r="B407" s="19" t="s">
        <v>20</v>
      </c>
      <c r="C407" s="19">
        <v>36.0</v>
      </c>
      <c r="D407" s="19">
        <v>4951.0</v>
      </c>
      <c r="E407" s="19">
        <v>4584.0</v>
      </c>
      <c r="G407" s="9" t="str">
        <f t="shared" si="1"/>
        <v>43978|Волгоград</v>
      </c>
    </row>
    <row r="408" ht="14.25" customHeight="1">
      <c r="A408" s="18">
        <v>43978.0</v>
      </c>
      <c r="B408" s="19" t="s">
        <v>17</v>
      </c>
      <c r="C408" s="19">
        <v>31.0</v>
      </c>
      <c r="D408" s="19">
        <v>5330.0</v>
      </c>
      <c r="E408" s="19">
        <v>4977.0</v>
      </c>
      <c r="G408" s="9" t="str">
        <f t="shared" si="1"/>
        <v>43978|Екатеринбург</v>
      </c>
    </row>
    <row r="409" ht="14.25" customHeight="1">
      <c r="A409" s="18">
        <v>43978.0</v>
      </c>
      <c r="B409" s="19" t="s">
        <v>19</v>
      </c>
      <c r="C409" s="19">
        <v>21.0</v>
      </c>
      <c r="D409" s="19">
        <v>2430.0</v>
      </c>
      <c r="E409" s="19">
        <v>2216.0</v>
      </c>
      <c r="G409" s="9" t="str">
        <f t="shared" si="1"/>
        <v>43978|Казань</v>
      </c>
    </row>
    <row r="410" ht="14.25" customHeight="1">
      <c r="A410" s="18">
        <v>43978.0</v>
      </c>
      <c r="B410" s="19" t="s">
        <v>10</v>
      </c>
      <c r="C410" s="19">
        <v>20.0</v>
      </c>
      <c r="D410" s="19">
        <v>2079.0</v>
      </c>
      <c r="E410" s="19">
        <v>1893.0</v>
      </c>
      <c r="G410" s="9" t="str">
        <f t="shared" si="1"/>
        <v>43978|Кемерово</v>
      </c>
    </row>
    <row r="411" ht="14.25" customHeight="1">
      <c r="A411" s="18">
        <v>43978.0</v>
      </c>
      <c r="B411" s="19" t="s">
        <v>22</v>
      </c>
      <c r="C411" s="19">
        <v>20.0</v>
      </c>
      <c r="D411" s="19">
        <v>1873.0</v>
      </c>
      <c r="E411" s="19">
        <v>1715.0</v>
      </c>
      <c r="G411" s="9" t="str">
        <f t="shared" si="1"/>
        <v>43978|Краснодар</v>
      </c>
    </row>
    <row r="412" ht="14.25" customHeight="1">
      <c r="A412" s="18">
        <v>43978.0</v>
      </c>
      <c r="B412" s="19" t="s">
        <v>13</v>
      </c>
      <c r="C412" s="19">
        <v>54.0</v>
      </c>
      <c r="D412" s="19">
        <v>13091.0</v>
      </c>
      <c r="E412" s="19">
        <v>12216.0</v>
      </c>
      <c r="G412" s="9" t="str">
        <f t="shared" si="1"/>
        <v>43978|Москва Восток</v>
      </c>
    </row>
    <row r="413" ht="14.25" customHeight="1">
      <c r="A413" s="18">
        <v>43978.0</v>
      </c>
      <c r="B413" s="19" t="s">
        <v>15</v>
      </c>
      <c r="C413" s="19">
        <v>59.0</v>
      </c>
      <c r="D413" s="19">
        <v>13942.0</v>
      </c>
      <c r="E413" s="19">
        <v>12986.0</v>
      </c>
      <c r="G413" s="9" t="str">
        <f t="shared" si="1"/>
        <v>43978|Москва Запад</v>
      </c>
    </row>
    <row r="414" ht="14.25" customHeight="1">
      <c r="A414" s="18">
        <v>43978.0</v>
      </c>
      <c r="B414" s="19" t="s">
        <v>21</v>
      </c>
      <c r="C414" s="19">
        <v>20.0</v>
      </c>
      <c r="D414" s="19">
        <v>2079.0</v>
      </c>
      <c r="E414" s="19">
        <v>1856.0</v>
      </c>
      <c r="G414" s="9" t="str">
        <f t="shared" si="1"/>
        <v>43978|Нижний Новгород</v>
      </c>
    </row>
    <row r="415" ht="14.25" customHeight="1">
      <c r="A415" s="18">
        <v>43978.0</v>
      </c>
      <c r="B415" s="19" t="s">
        <v>27</v>
      </c>
      <c r="C415" s="19">
        <v>18.0</v>
      </c>
      <c r="D415" s="19">
        <v>962.0</v>
      </c>
      <c r="E415" s="19">
        <v>859.0</v>
      </c>
      <c r="G415" s="9" t="str">
        <f t="shared" si="1"/>
        <v>43978|Новосибирск</v>
      </c>
    </row>
    <row r="416" ht="14.25" customHeight="1">
      <c r="A416" s="18">
        <v>43978.0</v>
      </c>
      <c r="B416" s="19" t="s">
        <v>26</v>
      </c>
      <c r="C416" s="19">
        <v>17.0</v>
      </c>
      <c r="D416" s="19">
        <v>1203.0</v>
      </c>
      <c r="E416" s="19">
        <v>1077.0</v>
      </c>
      <c r="G416" s="9" t="str">
        <f t="shared" si="1"/>
        <v>43978|Пермь</v>
      </c>
    </row>
    <row r="417" ht="14.25" customHeight="1">
      <c r="A417" s="18">
        <v>43978.0</v>
      </c>
      <c r="B417" s="19" t="s">
        <v>24</v>
      </c>
      <c r="C417" s="19">
        <v>15.0</v>
      </c>
      <c r="D417" s="19">
        <v>809.0</v>
      </c>
      <c r="E417" s="19">
        <v>702.0</v>
      </c>
      <c r="G417" s="9" t="str">
        <f t="shared" si="1"/>
        <v>43978|Ростов-на-Дону</v>
      </c>
    </row>
    <row r="418" ht="14.25" customHeight="1">
      <c r="A418" s="18">
        <v>43978.0</v>
      </c>
      <c r="B418" s="19" t="s">
        <v>16</v>
      </c>
      <c r="C418" s="19">
        <v>124.0</v>
      </c>
      <c r="D418" s="19">
        <v>21384.0</v>
      </c>
      <c r="E418" s="19">
        <v>19897.0</v>
      </c>
      <c r="G418" s="9" t="str">
        <f t="shared" si="1"/>
        <v>43978|Санкт-Петербург Север</v>
      </c>
    </row>
    <row r="419" ht="14.25" customHeight="1">
      <c r="A419" s="18">
        <v>43978.0</v>
      </c>
      <c r="B419" s="19" t="s">
        <v>18</v>
      </c>
      <c r="C419" s="19">
        <v>129.0</v>
      </c>
      <c r="D419" s="19">
        <v>17115.0</v>
      </c>
      <c r="E419" s="19">
        <v>15962.0</v>
      </c>
      <c r="G419" s="9" t="str">
        <f t="shared" si="1"/>
        <v>43978|Санкт-Петербург Юг</v>
      </c>
    </row>
    <row r="420" ht="14.25" customHeight="1">
      <c r="A420" s="18">
        <v>43978.0</v>
      </c>
      <c r="B420" s="19" t="s">
        <v>25</v>
      </c>
      <c r="C420" s="19">
        <v>10.0</v>
      </c>
      <c r="D420" s="19">
        <v>757.0</v>
      </c>
      <c r="E420" s="19">
        <v>660.0</v>
      </c>
      <c r="G420" s="9" t="str">
        <f t="shared" si="1"/>
        <v>43978|Тольятти</v>
      </c>
    </row>
    <row r="421" ht="14.25" customHeight="1">
      <c r="A421" s="18">
        <v>43978.0</v>
      </c>
      <c r="B421" s="19" t="s">
        <v>23</v>
      </c>
      <c r="C421" s="19">
        <v>7.0</v>
      </c>
      <c r="D421" s="19">
        <v>409.0</v>
      </c>
      <c r="E421" s="19">
        <v>329.0</v>
      </c>
      <c r="G421" s="9" t="str">
        <f t="shared" si="1"/>
        <v>43978|Тюмень</v>
      </c>
    </row>
    <row r="422" ht="14.25" customHeight="1">
      <c r="A422" s="18">
        <v>43979.0</v>
      </c>
      <c r="B422" s="19" t="s">
        <v>20</v>
      </c>
      <c r="C422" s="19">
        <v>37.0</v>
      </c>
      <c r="D422" s="19">
        <v>4840.0</v>
      </c>
      <c r="E422" s="19">
        <v>4475.0</v>
      </c>
      <c r="G422" s="9" t="str">
        <f t="shared" si="1"/>
        <v>43979|Волгоград</v>
      </c>
    </row>
    <row r="423" ht="14.25" customHeight="1">
      <c r="A423" s="18">
        <v>43979.0</v>
      </c>
      <c r="B423" s="19" t="s">
        <v>17</v>
      </c>
      <c r="C423" s="19">
        <v>31.0</v>
      </c>
      <c r="D423" s="19">
        <v>5355.0</v>
      </c>
      <c r="E423" s="19">
        <v>4969.0</v>
      </c>
      <c r="G423" s="9" t="str">
        <f t="shared" si="1"/>
        <v>43979|Екатеринбург</v>
      </c>
    </row>
    <row r="424" ht="14.25" customHeight="1">
      <c r="A424" s="18">
        <v>43979.0</v>
      </c>
      <c r="B424" s="19" t="s">
        <v>19</v>
      </c>
      <c r="C424" s="19">
        <v>22.0</v>
      </c>
      <c r="D424" s="19">
        <v>2454.0</v>
      </c>
      <c r="E424" s="19">
        <v>2239.0</v>
      </c>
      <c r="G424" s="9" t="str">
        <f t="shared" si="1"/>
        <v>43979|Казань</v>
      </c>
    </row>
    <row r="425" ht="14.25" customHeight="1">
      <c r="A425" s="18">
        <v>43979.0</v>
      </c>
      <c r="B425" s="19" t="s">
        <v>10</v>
      </c>
      <c r="C425" s="19">
        <v>20.0</v>
      </c>
      <c r="D425" s="19">
        <v>1886.0</v>
      </c>
      <c r="E425" s="19">
        <v>1736.0</v>
      </c>
      <c r="G425" s="9" t="str">
        <f t="shared" si="1"/>
        <v>43979|Кемерово</v>
      </c>
    </row>
    <row r="426" ht="14.25" customHeight="1">
      <c r="A426" s="18">
        <v>43979.0</v>
      </c>
      <c r="B426" s="19" t="s">
        <v>22</v>
      </c>
      <c r="C426" s="19">
        <v>20.0</v>
      </c>
      <c r="D426" s="19">
        <v>1875.0</v>
      </c>
      <c r="E426" s="19">
        <v>1701.0</v>
      </c>
      <c r="G426" s="9" t="str">
        <f t="shared" si="1"/>
        <v>43979|Краснодар</v>
      </c>
    </row>
    <row r="427" ht="14.25" customHeight="1">
      <c r="A427" s="18">
        <v>43979.0</v>
      </c>
      <c r="B427" s="19" t="s">
        <v>13</v>
      </c>
      <c r="C427" s="19">
        <v>54.0</v>
      </c>
      <c r="D427" s="19">
        <v>12409.0</v>
      </c>
      <c r="E427" s="19">
        <v>11582.0</v>
      </c>
      <c r="G427" s="9" t="str">
        <f t="shared" si="1"/>
        <v>43979|Москва Восток</v>
      </c>
    </row>
    <row r="428" ht="14.25" customHeight="1">
      <c r="A428" s="18">
        <v>43979.0</v>
      </c>
      <c r="B428" s="19" t="s">
        <v>15</v>
      </c>
      <c r="C428" s="19">
        <v>60.0</v>
      </c>
      <c r="D428" s="19">
        <v>12854.0</v>
      </c>
      <c r="E428" s="19">
        <v>11954.0</v>
      </c>
      <c r="G428" s="9" t="str">
        <f t="shared" si="1"/>
        <v>43979|Москва Запад</v>
      </c>
    </row>
    <row r="429" ht="14.25" customHeight="1">
      <c r="A429" s="18">
        <v>43979.0</v>
      </c>
      <c r="B429" s="19" t="s">
        <v>21</v>
      </c>
      <c r="C429" s="19">
        <v>20.0</v>
      </c>
      <c r="D429" s="19">
        <v>2088.0</v>
      </c>
      <c r="E429" s="19">
        <v>1848.0</v>
      </c>
      <c r="G429" s="9" t="str">
        <f t="shared" si="1"/>
        <v>43979|Нижний Новгород</v>
      </c>
    </row>
    <row r="430" ht="14.25" customHeight="1">
      <c r="A430" s="18">
        <v>43979.0</v>
      </c>
      <c r="B430" s="19" t="s">
        <v>27</v>
      </c>
      <c r="C430" s="19">
        <v>18.0</v>
      </c>
      <c r="D430" s="19">
        <v>1020.0</v>
      </c>
      <c r="E430" s="19">
        <v>911.0</v>
      </c>
      <c r="G430" s="9" t="str">
        <f t="shared" si="1"/>
        <v>43979|Новосибирск</v>
      </c>
    </row>
    <row r="431" ht="14.25" customHeight="1">
      <c r="A431" s="18">
        <v>43979.0</v>
      </c>
      <c r="B431" s="19" t="s">
        <v>26</v>
      </c>
      <c r="C431" s="19">
        <v>17.0</v>
      </c>
      <c r="D431" s="19">
        <v>1097.0</v>
      </c>
      <c r="E431" s="19">
        <v>968.0</v>
      </c>
      <c r="G431" s="9" t="str">
        <f t="shared" si="1"/>
        <v>43979|Пермь</v>
      </c>
    </row>
    <row r="432" ht="14.25" customHeight="1">
      <c r="A432" s="18">
        <v>43979.0</v>
      </c>
      <c r="B432" s="19" t="s">
        <v>24</v>
      </c>
      <c r="C432" s="19">
        <v>16.0</v>
      </c>
      <c r="D432" s="19">
        <v>876.0</v>
      </c>
      <c r="E432" s="19">
        <v>762.0</v>
      </c>
      <c r="G432" s="9" t="str">
        <f t="shared" si="1"/>
        <v>43979|Ростов-на-Дону</v>
      </c>
    </row>
    <row r="433" ht="14.25" customHeight="1">
      <c r="A433" s="18">
        <v>43979.0</v>
      </c>
      <c r="B433" s="19" t="s">
        <v>9</v>
      </c>
      <c r="C433" s="19">
        <v>15.0</v>
      </c>
      <c r="D433" s="19">
        <v>464.0</v>
      </c>
      <c r="E433" s="19">
        <v>390.0</v>
      </c>
      <c r="G433" s="9" t="str">
        <f t="shared" si="1"/>
        <v>43979|Самара</v>
      </c>
    </row>
    <row r="434" ht="14.25" customHeight="1">
      <c r="A434" s="18">
        <v>43979.0</v>
      </c>
      <c r="B434" s="19" t="s">
        <v>16</v>
      </c>
      <c r="C434" s="19">
        <v>124.0</v>
      </c>
      <c r="D434" s="19">
        <v>20868.0</v>
      </c>
      <c r="E434" s="19">
        <v>19342.0</v>
      </c>
      <c r="G434" s="9" t="str">
        <f t="shared" si="1"/>
        <v>43979|Санкт-Петербург Север</v>
      </c>
    </row>
    <row r="435" ht="14.25" customHeight="1">
      <c r="A435" s="18">
        <v>43979.0</v>
      </c>
      <c r="B435" s="19" t="s">
        <v>18</v>
      </c>
      <c r="C435" s="19">
        <v>129.0</v>
      </c>
      <c r="D435" s="19">
        <v>16453.0</v>
      </c>
      <c r="E435" s="19">
        <v>15289.0</v>
      </c>
      <c r="G435" s="9" t="str">
        <f t="shared" si="1"/>
        <v>43979|Санкт-Петербург Юг</v>
      </c>
    </row>
    <row r="436" ht="14.25" customHeight="1">
      <c r="A436" s="18">
        <v>43979.0</v>
      </c>
      <c r="B436" s="19" t="s">
        <v>25</v>
      </c>
      <c r="C436" s="19">
        <v>10.0</v>
      </c>
      <c r="D436" s="19">
        <v>791.0</v>
      </c>
      <c r="E436" s="19">
        <v>697.0</v>
      </c>
      <c r="G436" s="9" t="str">
        <f t="shared" si="1"/>
        <v>43979|Тольятти</v>
      </c>
    </row>
    <row r="437" ht="14.25" customHeight="1">
      <c r="A437" s="18">
        <v>43979.0</v>
      </c>
      <c r="B437" s="19" t="s">
        <v>23</v>
      </c>
      <c r="C437" s="19">
        <v>7.0</v>
      </c>
      <c r="D437" s="19">
        <v>420.0</v>
      </c>
      <c r="E437" s="19">
        <v>347.0</v>
      </c>
      <c r="G437" s="9" t="str">
        <f t="shared" si="1"/>
        <v>43979|Тюмень</v>
      </c>
    </row>
    <row r="438" ht="14.25" customHeight="1">
      <c r="A438" s="18">
        <v>43980.0</v>
      </c>
      <c r="B438" s="19" t="s">
        <v>20</v>
      </c>
      <c r="C438" s="19">
        <v>37.0</v>
      </c>
      <c r="D438" s="19">
        <v>5672.0</v>
      </c>
      <c r="E438" s="19">
        <v>5198.0</v>
      </c>
      <c r="G438" s="9" t="str">
        <f t="shared" si="1"/>
        <v>43980|Волгоград</v>
      </c>
    </row>
    <row r="439" ht="14.25" customHeight="1">
      <c r="A439" s="18">
        <v>43980.0</v>
      </c>
      <c r="B439" s="19" t="s">
        <v>17</v>
      </c>
      <c r="C439" s="19">
        <v>31.0</v>
      </c>
      <c r="D439" s="19">
        <v>5751.0</v>
      </c>
      <c r="E439" s="19">
        <v>5319.0</v>
      </c>
      <c r="G439" s="9" t="str">
        <f t="shared" si="1"/>
        <v>43980|Екатеринбург</v>
      </c>
    </row>
    <row r="440" ht="14.25" customHeight="1">
      <c r="A440" s="18">
        <v>43980.0</v>
      </c>
      <c r="B440" s="19" t="s">
        <v>19</v>
      </c>
      <c r="C440" s="19">
        <v>22.0</v>
      </c>
      <c r="D440" s="19">
        <v>2597.0</v>
      </c>
      <c r="E440" s="19">
        <v>2379.0</v>
      </c>
      <c r="G440" s="9" t="str">
        <f t="shared" si="1"/>
        <v>43980|Казань</v>
      </c>
    </row>
    <row r="441" ht="14.25" customHeight="1">
      <c r="A441" s="18">
        <v>43980.0</v>
      </c>
      <c r="B441" s="19" t="s">
        <v>10</v>
      </c>
      <c r="C441" s="19">
        <v>20.0</v>
      </c>
      <c r="D441" s="19">
        <v>2111.0</v>
      </c>
      <c r="E441" s="19">
        <v>1917.0</v>
      </c>
      <c r="G441" s="9" t="str">
        <f t="shared" si="1"/>
        <v>43980|Кемерово</v>
      </c>
    </row>
    <row r="442" ht="14.25" customHeight="1">
      <c r="A442" s="18">
        <v>43980.0</v>
      </c>
      <c r="B442" s="19" t="s">
        <v>22</v>
      </c>
      <c r="C442" s="19">
        <v>20.0</v>
      </c>
      <c r="D442" s="19">
        <v>2064.0</v>
      </c>
      <c r="E442" s="19">
        <v>1896.0</v>
      </c>
      <c r="G442" s="9" t="str">
        <f t="shared" si="1"/>
        <v>43980|Краснодар</v>
      </c>
    </row>
    <row r="443" ht="14.25" customHeight="1">
      <c r="A443" s="18">
        <v>43980.0</v>
      </c>
      <c r="B443" s="19" t="s">
        <v>13</v>
      </c>
      <c r="C443" s="19">
        <v>54.0</v>
      </c>
      <c r="D443" s="19">
        <v>14031.0</v>
      </c>
      <c r="E443" s="19">
        <v>12943.0</v>
      </c>
      <c r="G443" s="9" t="str">
        <f t="shared" si="1"/>
        <v>43980|Москва Восток</v>
      </c>
    </row>
    <row r="444" ht="14.25" customHeight="1">
      <c r="A444" s="18">
        <v>43980.0</v>
      </c>
      <c r="B444" s="19" t="s">
        <v>15</v>
      </c>
      <c r="C444" s="19">
        <v>59.0</v>
      </c>
      <c r="D444" s="19">
        <v>14507.0</v>
      </c>
      <c r="E444" s="19">
        <v>13386.0</v>
      </c>
      <c r="G444" s="9" t="str">
        <f t="shared" si="1"/>
        <v>43980|Москва Запад</v>
      </c>
    </row>
    <row r="445" ht="14.25" customHeight="1">
      <c r="A445" s="18">
        <v>43980.0</v>
      </c>
      <c r="B445" s="19" t="s">
        <v>21</v>
      </c>
      <c r="C445" s="19">
        <v>20.0</v>
      </c>
      <c r="D445" s="19">
        <v>2249.0</v>
      </c>
      <c r="E445" s="19">
        <v>2000.0</v>
      </c>
      <c r="G445" s="9" t="str">
        <f t="shared" si="1"/>
        <v>43980|Нижний Новгород</v>
      </c>
    </row>
    <row r="446" ht="14.25" customHeight="1">
      <c r="A446" s="18">
        <v>43980.0</v>
      </c>
      <c r="B446" s="19" t="s">
        <v>27</v>
      </c>
      <c r="C446" s="19">
        <v>18.0</v>
      </c>
      <c r="D446" s="19">
        <v>1014.0</v>
      </c>
      <c r="E446" s="19">
        <v>893.0</v>
      </c>
      <c r="G446" s="9" t="str">
        <f t="shared" si="1"/>
        <v>43980|Новосибирск</v>
      </c>
    </row>
    <row r="447" ht="14.25" customHeight="1">
      <c r="A447" s="18">
        <v>43980.0</v>
      </c>
      <c r="B447" s="19" t="s">
        <v>26</v>
      </c>
      <c r="C447" s="19">
        <v>17.0</v>
      </c>
      <c r="D447" s="19">
        <v>1296.0</v>
      </c>
      <c r="E447" s="19">
        <v>1153.0</v>
      </c>
      <c r="G447" s="9" t="str">
        <f t="shared" si="1"/>
        <v>43980|Пермь</v>
      </c>
    </row>
    <row r="448" ht="14.25" customHeight="1">
      <c r="A448" s="18">
        <v>43980.0</v>
      </c>
      <c r="B448" s="19" t="s">
        <v>24</v>
      </c>
      <c r="C448" s="19">
        <v>16.0</v>
      </c>
      <c r="D448" s="19">
        <v>981.0</v>
      </c>
      <c r="E448" s="19">
        <v>859.0</v>
      </c>
      <c r="G448" s="9" t="str">
        <f t="shared" si="1"/>
        <v>43980|Ростов-на-Дону</v>
      </c>
    </row>
    <row r="449" ht="14.25" customHeight="1">
      <c r="A449" s="18">
        <v>43980.0</v>
      </c>
      <c r="B449" s="19" t="s">
        <v>9</v>
      </c>
      <c r="C449" s="19">
        <v>15.0</v>
      </c>
      <c r="D449" s="19">
        <v>400.0</v>
      </c>
      <c r="E449" s="19">
        <v>329.0</v>
      </c>
      <c r="G449" s="9" t="str">
        <f t="shared" si="1"/>
        <v>43980|Самара</v>
      </c>
    </row>
    <row r="450" ht="14.25" customHeight="1">
      <c r="A450" s="18">
        <v>43980.0</v>
      </c>
      <c r="B450" s="19" t="s">
        <v>16</v>
      </c>
      <c r="C450" s="19">
        <v>124.0</v>
      </c>
      <c r="D450" s="19">
        <v>25828.0</v>
      </c>
      <c r="E450" s="19">
        <v>23974.0</v>
      </c>
      <c r="G450" s="9" t="str">
        <f t="shared" si="1"/>
        <v>43980|Санкт-Петербург Север</v>
      </c>
    </row>
    <row r="451" ht="14.25" customHeight="1">
      <c r="A451" s="18">
        <v>43980.0</v>
      </c>
      <c r="B451" s="19" t="s">
        <v>18</v>
      </c>
      <c r="C451" s="19">
        <v>129.0</v>
      </c>
      <c r="D451" s="19">
        <v>22403.0</v>
      </c>
      <c r="E451" s="19">
        <v>20676.0</v>
      </c>
      <c r="G451" s="9" t="str">
        <f t="shared" si="1"/>
        <v>43980|Санкт-Петербург Юг</v>
      </c>
    </row>
    <row r="452" ht="14.25" customHeight="1">
      <c r="A452" s="18">
        <v>43980.0</v>
      </c>
      <c r="B452" s="19" t="s">
        <v>25</v>
      </c>
      <c r="C452" s="19">
        <v>10.0</v>
      </c>
      <c r="D452" s="19">
        <v>873.0</v>
      </c>
      <c r="E452" s="19">
        <v>770.0</v>
      </c>
      <c r="G452" s="9" t="str">
        <f t="shared" si="1"/>
        <v>43980|Тольятти</v>
      </c>
    </row>
    <row r="453" ht="14.25" customHeight="1">
      <c r="A453" s="18">
        <v>43980.0</v>
      </c>
      <c r="B453" s="19" t="s">
        <v>23</v>
      </c>
      <c r="C453" s="19">
        <v>7.0</v>
      </c>
      <c r="D453" s="19">
        <v>491.0</v>
      </c>
      <c r="E453" s="19">
        <v>411.0</v>
      </c>
      <c r="G453" s="9" t="str">
        <f t="shared" si="1"/>
        <v>43980|Тюмень</v>
      </c>
    </row>
    <row r="454" ht="14.25" customHeight="1">
      <c r="A454" s="18">
        <v>43981.0</v>
      </c>
      <c r="B454" s="19" t="s">
        <v>20</v>
      </c>
      <c r="C454" s="19">
        <v>37.0</v>
      </c>
      <c r="D454" s="19">
        <v>6645.0</v>
      </c>
      <c r="E454" s="19">
        <v>6122.0</v>
      </c>
      <c r="G454" s="9" t="str">
        <f t="shared" si="1"/>
        <v>43981|Волгоград</v>
      </c>
    </row>
    <row r="455" ht="14.25" customHeight="1">
      <c r="A455" s="18">
        <v>43981.0</v>
      </c>
      <c r="B455" s="19" t="s">
        <v>17</v>
      </c>
      <c r="C455" s="19">
        <v>31.0</v>
      </c>
      <c r="D455" s="19">
        <v>6735.0</v>
      </c>
      <c r="E455" s="19">
        <v>6264.0</v>
      </c>
      <c r="G455" s="9" t="str">
        <f t="shared" si="1"/>
        <v>43981|Екатеринбург</v>
      </c>
    </row>
    <row r="456" ht="14.25" customHeight="1">
      <c r="A456" s="18">
        <v>43981.0</v>
      </c>
      <c r="B456" s="19" t="s">
        <v>19</v>
      </c>
      <c r="C456" s="19">
        <v>22.0</v>
      </c>
      <c r="D456" s="19">
        <v>2793.0</v>
      </c>
      <c r="E456" s="19">
        <v>2539.0</v>
      </c>
      <c r="G456" s="9" t="str">
        <f t="shared" si="1"/>
        <v>43981|Казань</v>
      </c>
    </row>
    <row r="457" ht="14.25" customHeight="1">
      <c r="A457" s="18">
        <v>43981.0</v>
      </c>
      <c r="B457" s="19" t="s">
        <v>10</v>
      </c>
      <c r="C457" s="19">
        <v>20.0</v>
      </c>
      <c r="D457" s="19">
        <v>2597.0</v>
      </c>
      <c r="E457" s="19">
        <v>2376.0</v>
      </c>
      <c r="G457" s="9" t="str">
        <f t="shared" si="1"/>
        <v>43981|Кемерово</v>
      </c>
    </row>
    <row r="458" ht="14.25" customHeight="1">
      <c r="A458" s="18">
        <v>43981.0</v>
      </c>
      <c r="B458" s="19" t="s">
        <v>22</v>
      </c>
      <c r="C458" s="19">
        <v>20.0</v>
      </c>
      <c r="D458" s="19">
        <v>2174.0</v>
      </c>
      <c r="E458" s="19">
        <v>1957.0</v>
      </c>
      <c r="G458" s="9" t="str">
        <f t="shared" si="1"/>
        <v>43981|Краснодар</v>
      </c>
    </row>
    <row r="459" ht="14.25" customHeight="1">
      <c r="A459" s="18">
        <v>43981.0</v>
      </c>
      <c r="B459" s="19" t="s">
        <v>13</v>
      </c>
      <c r="C459" s="19">
        <v>54.0</v>
      </c>
      <c r="D459" s="19">
        <v>14590.0</v>
      </c>
      <c r="E459" s="19">
        <v>13551.0</v>
      </c>
      <c r="G459" s="9" t="str">
        <f t="shared" si="1"/>
        <v>43981|Москва Восток</v>
      </c>
    </row>
    <row r="460" ht="14.25" customHeight="1">
      <c r="A460" s="18">
        <v>43981.0</v>
      </c>
      <c r="B460" s="19" t="s">
        <v>15</v>
      </c>
      <c r="C460" s="19">
        <v>59.0</v>
      </c>
      <c r="D460" s="19">
        <v>15030.0</v>
      </c>
      <c r="E460" s="19">
        <v>13956.0</v>
      </c>
      <c r="G460" s="9" t="str">
        <f t="shared" si="1"/>
        <v>43981|Москва Запад</v>
      </c>
    </row>
    <row r="461" ht="14.25" customHeight="1">
      <c r="A461" s="18">
        <v>43981.0</v>
      </c>
      <c r="B461" s="19" t="s">
        <v>21</v>
      </c>
      <c r="C461" s="19">
        <v>20.0</v>
      </c>
      <c r="D461" s="19">
        <v>2451.0</v>
      </c>
      <c r="E461" s="19">
        <v>2178.0</v>
      </c>
      <c r="G461" s="9" t="str">
        <f t="shared" si="1"/>
        <v>43981|Нижний Новгород</v>
      </c>
    </row>
    <row r="462" ht="14.25" customHeight="1">
      <c r="A462" s="18">
        <v>43981.0</v>
      </c>
      <c r="B462" s="19" t="s">
        <v>27</v>
      </c>
      <c r="C462" s="19">
        <v>18.0</v>
      </c>
      <c r="D462" s="19">
        <v>1216.0</v>
      </c>
      <c r="E462" s="19">
        <v>1101.0</v>
      </c>
      <c r="G462" s="9" t="str">
        <f t="shared" si="1"/>
        <v>43981|Новосибирск</v>
      </c>
    </row>
    <row r="463" ht="14.25" customHeight="1">
      <c r="A463" s="18">
        <v>43981.0</v>
      </c>
      <c r="B463" s="19" t="s">
        <v>26</v>
      </c>
      <c r="C463" s="19">
        <v>17.0</v>
      </c>
      <c r="D463" s="19">
        <v>1697.0</v>
      </c>
      <c r="E463" s="19">
        <v>1499.0</v>
      </c>
      <c r="G463" s="9" t="str">
        <f t="shared" si="1"/>
        <v>43981|Пермь</v>
      </c>
    </row>
    <row r="464" ht="14.25" customHeight="1">
      <c r="A464" s="18">
        <v>43981.0</v>
      </c>
      <c r="B464" s="19" t="s">
        <v>24</v>
      </c>
      <c r="C464" s="19">
        <v>16.0</v>
      </c>
      <c r="D464" s="19">
        <v>1048.0</v>
      </c>
      <c r="E464" s="19">
        <v>918.0</v>
      </c>
      <c r="G464" s="9" t="str">
        <f t="shared" si="1"/>
        <v>43981|Ростов-на-Дону</v>
      </c>
    </row>
    <row r="465" ht="14.25" customHeight="1">
      <c r="A465" s="18">
        <v>43981.0</v>
      </c>
      <c r="B465" s="19" t="s">
        <v>9</v>
      </c>
      <c r="C465" s="19">
        <v>15.0</v>
      </c>
      <c r="D465" s="19">
        <v>490.0</v>
      </c>
      <c r="E465" s="19">
        <v>409.0</v>
      </c>
      <c r="G465" s="9" t="str">
        <f t="shared" si="1"/>
        <v>43981|Самара</v>
      </c>
    </row>
    <row r="466" ht="14.25" customHeight="1">
      <c r="A466" s="18">
        <v>43981.0</v>
      </c>
      <c r="B466" s="19" t="s">
        <v>16</v>
      </c>
      <c r="C466" s="19">
        <v>124.0</v>
      </c>
      <c r="D466" s="19">
        <v>24325.0</v>
      </c>
      <c r="E466" s="19">
        <v>22469.0</v>
      </c>
      <c r="G466" s="9" t="str">
        <f t="shared" si="1"/>
        <v>43981|Санкт-Петербург Север</v>
      </c>
    </row>
    <row r="467" ht="14.25" customHeight="1">
      <c r="A467" s="18">
        <v>43981.0</v>
      </c>
      <c r="B467" s="19" t="s">
        <v>18</v>
      </c>
      <c r="C467" s="19">
        <v>129.0</v>
      </c>
      <c r="D467" s="19">
        <v>20243.0</v>
      </c>
      <c r="E467" s="19">
        <v>18711.0</v>
      </c>
      <c r="G467" s="9" t="str">
        <f t="shared" si="1"/>
        <v>43981|Санкт-Петербург Юг</v>
      </c>
    </row>
    <row r="468" ht="14.25" customHeight="1">
      <c r="A468" s="18">
        <v>43981.0</v>
      </c>
      <c r="B468" s="19" t="s">
        <v>25</v>
      </c>
      <c r="C468" s="19">
        <v>10.0</v>
      </c>
      <c r="D468" s="19">
        <v>865.0</v>
      </c>
      <c r="E468" s="19">
        <v>763.0</v>
      </c>
      <c r="G468" s="9" t="str">
        <f t="shared" si="1"/>
        <v>43981|Тольятти</v>
      </c>
    </row>
    <row r="469" ht="14.25" customHeight="1">
      <c r="A469" s="18">
        <v>43981.0</v>
      </c>
      <c r="B469" s="19" t="s">
        <v>23</v>
      </c>
      <c r="C469" s="19">
        <v>7.0</v>
      </c>
      <c r="D469" s="19">
        <v>532.0</v>
      </c>
      <c r="E469" s="19">
        <v>449.0</v>
      </c>
      <c r="G469" s="9" t="str">
        <f t="shared" si="1"/>
        <v>43981|Тюмень</v>
      </c>
    </row>
    <row r="470" ht="14.25" customHeight="1">
      <c r="A470" s="18">
        <v>43982.0</v>
      </c>
      <c r="B470" s="19" t="s">
        <v>20</v>
      </c>
      <c r="C470" s="19">
        <v>37.0</v>
      </c>
      <c r="D470" s="19">
        <v>5215.0</v>
      </c>
      <c r="E470" s="19">
        <v>4848.0</v>
      </c>
      <c r="G470" s="9" t="str">
        <f t="shared" si="1"/>
        <v>43982|Волгоград</v>
      </c>
    </row>
    <row r="471" ht="14.25" customHeight="1">
      <c r="A471" s="18">
        <v>43982.0</v>
      </c>
      <c r="B471" s="19" t="s">
        <v>17</v>
      </c>
      <c r="C471" s="19">
        <v>31.0</v>
      </c>
      <c r="D471" s="19">
        <v>5760.0</v>
      </c>
      <c r="E471" s="19">
        <v>5367.0</v>
      </c>
      <c r="G471" s="9" t="str">
        <f t="shared" si="1"/>
        <v>43982|Екатеринбург</v>
      </c>
    </row>
    <row r="472" ht="14.25" customHeight="1">
      <c r="A472" s="18">
        <v>43982.0</v>
      </c>
      <c r="B472" s="19" t="s">
        <v>19</v>
      </c>
      <c r="C472" s="19">
        <v>23.0</v>
      </c>
      <c r="D472" s="19">
        <v>2522.0</v>
      </c>
      <c r="E472" s="19">
        <v>2295.0</v>
      </c>
      <c r="G472" s="9" t="str">
        <f t="shared" si="1"/>
        <v>43982|Казань</v>
      </c>
    </row>
    <row r="473" ht="14.25" customHeight="1">
      <c r="A473" s="18">
        <v>43982.0</v>
      </c>
      <c r="B473" s="19" t="s">
        <v>10</v>
      </c>
      <c r="C473" s="19">
        <v>21.0</v>
      </c>
      <c r="D473" s="19">
        <v>2271.0</v>
      </c>
      <c r="E473" s="19">
        <v>2085.0</v>
      </c>
      <c r="G473" s="9" t="str">
        <f t="shared" si="1"/>
        <v>43982|Кемерово</v>
      </c>
    </row>
    <row r="474" ht="14.25" customHeight="1">
      <c r="A474" s="18">
        <v>43982.0</v>
      </c>
      <c r="B474" s="19" t="s">
        <v>22</v>
      </c>
      <c r="C474" s="19">
        <v>21.0</v>
      </c>
      <c r="D474" s="19">
        <v>2056.0</v>
      </c>
      <c r="E474" s="19">
        <v>1879.0</v>
      </c>
      <c r="G474" s="9" t="str">
        <f t="shared" si="1"/>
        <v>43982|Краснодар</v>
      </c>
    </row>
    <row r="475" ht="14.25" customHeight="1">
      <c r="A475" s="18">
        <v>43982.0</v>
      </c>
      <c r="B475" s="19" t="s">
        <v>13</v>
      </c>
      <c r="C475" s="19">
        <v>54.0</v>
      </c>
      <c r="D475" s="19">
        <v>13106.0</v>
      </c>
      <c r="E475" s="19">
        <v>12164.0</v>
      </c>
      <c r="G475" s="9" t="str">
        <f t="shared" si="1"/>
        <v>43982|Москва Восток</v>
      </c>
    </row>
    <row r="476" ht="14.25" customHeight="1">
      <c r="A476" s="18">
        <v>43982.0</v>
      </c>
      <c r="B476" s="19" t="s">
        <v>15</v>
      </c>
      <c r="C476" s="19">
        <v>59.0</v>
      </c>
      <c r="D476" s="19">
        <v>13684.0</v>
      </c>
      <c r="E476" s="19">
        <v>12690.0</v>
      </c>
      <c r="G476" s="9" t="str">
        <f t="shared" si="1"/>
        <v>43982|Москва Запад</v>
      </c>
    </row>
    <row r="477" ht="14.25" customHeight="1">
      <c r="A477" s="18">
        <v>43982.0</v>
      </c>
      <c r="B477" s="19" t="s">
        <v>21</v>
      </c>
      <c r="C477" s="19">
        <v>20.0</v>
      </c>
      <c r="D477" s="19">
        <v>2060.0</v>
      </c>
      <c r="E477" s="19">
        <v>1826.0</v>
      </c>
      <c r="G477" s="9" t="str">
        <f t="shared" si="1"/>
        <v>43982|Нижний Новгород</v>
      </c>
    </row>
    <row r="478" ht="14.25" customHeight="1">
      <c r="A478" s="18">
        <v>43982.0</v>
      </c>
      <c r="B478" s="19" t="s">
        <v>27</v>
      </c>
      <c r="C478" s="19">
        <v>18.0</v>
      </c>
      <c r="D478" s="19">
        <v>1029.0</v>
      </c>
      <c r="E478" s="19">
        <v>925.0</v>
      </c>
      <c r="G478" s="9" t="str">
        <f t="shared" si="1"/>
        <v>43982|Новосибирск</v>
      </c>
    </row>
    <row r="479" ht="14.25" customHeight="1">
      <c r="A479" s="18">
        <v>43982.0</v>
      </c>
      <c r="B479" s="19" t="s">
        <v>26</v>
      </c>
      <c r="C479" s="19">
        <v>17.0</v>
      </c>
      <c r="D479" s="19">
        <v>1186.0</v>
      </c>
      <c r="E479" s="19">
        <v>1054.0</v>
      </c>
      <c r="G479" s="9" t="str">
        <f t="shared" si="1"/>
        <v>43982|Пермь</v>
      </c>
    </row>
    <row r="480" ht="14.25" customHeight="1">
      <c r="A480" s="18">
        <v>43982.0</v>
      </c>
      <c r="B480" s="19" t="s">
        <v>24</v>
      </c>
      <c r="C480" s="19">
        <v>16.0</v>
      </c>
      <c r="D480" s="19">
        <v>917.0</v>
      </c>
      <c r="E480" s="19">
        <v>802.0</v>
      </c>
      <c r="G480" s="9" t="str">
        <f t="shared" si="1"/>
        <v>43982|Ростов-на-Дону</v>
      </c>
    </row>
    <row r="481" ht="14.25" customHeight="1">
      <c r="A481" s="18">
        <v>43982.0</v>
      </c>
      <c r="B481" s="19" t="s">
        <v>9</v>
      </c>
      <c r="C481" s="19">
        <v>15.0</v>
      </c>
      <c r="D481" s="19">
        <v>441.0</v>
      </c>
      <c r="E481" s="19">
        <v>368.0</v>
      </c>
      <c r="G481" s="9" t="str">
        <f t="shared" si="1"/>
        <v>43982|Самара</v>
      </c>
    </row>
    <row r="482" ht="14.25" customHeight="1">
      <c r="A482" s="18">
        <v>43982.0</v>
      </c>
      <c r="B482" s="19" t="s">
        <v>16</v>
      </c>
      <c r="C482" s="19">
        <v>124.0</v>
      </c>
      <c r="D482" s="19">
        <v>21392.0</v>
      </c>
      <c r="E482" s="19">
        <v>19869.0</v>
      </c>
      <c r="G482" s="9" t="str">
        <f t="shared" si="1"/>
        <v>43982|Санкт-Петербург Север</v>
      </c>
    </row>
    <row r="483" ht="14.25" customHeight="1">
      <c r="A483" s="18">
        <v>43982.0</v>
      </c>
      <c r="B483" s="19" t="s">
        <v>18</v>
      </c>
      <c r="C483" s="19">
        <v>129.0</v>
      </c>
      <c r="D483" s="19">
        <v>17235.0</v>
      </c>
      <c r="E483" s="19">
        <v>16052.0</v>
      </c>
      <c r="G483" s="9" t="str">
        <f t="shared" si="1"/>
        <v>43982|Санкт-Петербург Юг</v>
      </c>
    </row>
    <row r="484" ht="14.25" customHeight="1">
      <c r="A484" s="18">
        <v>43982.0</v>
      </c>
      <c r="B484" s="19" t="s">
        <v>25</v>
      </c>
      <c r="C484" s="19">
        <v>10.0</v>
      </c>
      <c r="D484" s="19">
        <v>749.0</v>
      </c>
      <c r="E484" s="19">
        <v>655.0</v>
      </c>
      <c r="G484" s="9" t="str">
        <f t="shared" si="1"/>
        <v>43982|Тольятти</v>
      </c>
    </row>
    <row r="485" ht="14.25" customHeight="1">
      <c r="A485" s="18">
        <v>43982.0</v>
      </c>
      <c r="B485" s="19" t="s">
        <v>29</v>
      </c>
      <c r="C485" s="19">
        <v>9.0</v>
      </c>
      <c r="D485" s="19">
        <v>345.0</v>
      </c>
      <c r="E485" s="19">
        <v>255.0</v>
      </c>
      <c r="G485" s="9" t="str">
        <f t="shared" si="1"/>
        <v>43982|Томск</v>
      </c>
    </row>
    <row r="486" ht="14.25" customHeight="1">
      <c r="A486" s="18">
        <v>43982.0</v>
      </c>
      <c r="B486" s="19" t="s">
        <v>23</v>
      </c>
      <c r="C486" s="19">
        <v>7.0</v>
      </c>
      <c r="D486" s="19">
        <v>530.0</v>
      </c>
      <c r="E486" s="19">
        <v>447.0</v>
      </c>
      <c r="G486" s="9" t="str">
        <f t="shared" si="1"/>
        <v>43982|Тюмень</v>
      </c>
    </row>
    <row r="487" ht="14.25" customHeight="1">
      <c r="A487" s="18">
        <v>43982.0</v>
      </c>
      <c r="B487" s="19" t="s">
        <v>28</v>
      </c>
      <c r="C487" s="19">
        <v>6.0</v>
      </c>
      <c r="D487" s="19">
        <v>261.0</v>
      </c>
      <c r="E487" s="19">
        <v>188.0</v>
      </c>
      <c r="G487" s="9" t="str">
        <f t="shared" si="1"/>
        <v>43982|Уфа</v>
      </c>
    </row>
    <row r="488" ht="14.25" customHeight="1">
      <c r="A488" s="18">
        <v>43983.0</v>
      </c>
      <c r="B488" s="19" t="s">
        <v>20</v>
      </c>
      <c r="C488" s="19">
        <v>37.0</v>
      </c>
      <c r="D488" s="19">
        <v>4722.0</v>
      </c>
      <c r="E488" s="19">
        <v>4352.0</v>
      </c>
      <c r="G488" s="9" t="str">
        <f t="shared" si="1"/>
        <v>43983|Волгоград</v>
      </c>
    </row>
    <row r="489" ht="14.25" customHeight="1">
      <c r="A489" s="18">
        <v>43983.0</v>
      </c>
      <c r="B489" s="19" t="s">
        <v>17</v>
      </c>
      <c r="C489" s="19">
        <v>31.0</v>
      </c>
      <c r="D489" s="19">
        <v>5468.0</v>
      </c>
      <c r="E489" s="19">
        <v>5081.0</v>
      </c>
      <c r="G489" s="9" t="str">
        <f t="shared" si="1"/>
        <v>43983|Екатеринбург</v>
      </c>
    </row>
    <row r="490" ht="14.25" customHeight="1">
      <c r="A490" s="18">
        <v>43983.0</v>
      </c>
      <c r="B490" s="19" t="s">
        <v>19</v>
      </c>
      <c r="C490" s="19">
        <v>23.0</v>
      </c>
      <c r="D490" s="19">
        <v>2531.0</v>
      </c>
      <c r="E490" s="19">
        <v>2296.0</v>
      </c>
      <c r="G490" s="9" t="str">
        <f t="shared" si="1"/>
        <v>43983|Казань</v>
      </c>
    </row>
    <row r="491" ht="14.25" customHeight="1">
      <c r="A491" s="18">
        <v>43983.0</v>
      </c>
      <c r="B491" s="19" t="s">
        <v>10</v>
      </c>
      <c r="C491" s="19">
        <v>21.0</v>
      </c>
      <c r="D491" s="19">
        <v>2025.0</v>
      </c>
      <c r="E491" s="19">
        <v>1849.0</v>
      </c>
      <c r="G491" s="9" t="str">
        <f t="shared" si="1"/>
        <v>43983|Кемерово</v>
      </c>
    </row>
    <row r="492" ht="14.25" customHeight="1">
      <c r="A492" s="18">
        <v>43983.0</v>
      </c>
      <c r="B492" s="19" t="s">
        <v>22</v>
      </c>
      <c r="C492" s="19">
        <v>21.0</v>
      </c>
      <c r="D492" s="19">
        <v>1879.0</v>
      </c>
      <c r="E492" s="19">
        <v>1720.0</v>
      </c>
      <c r="G492" s="9" t="str">
        <f t="shared" si="1"/>
        <v>43983|Краснодар</v>
      </c>
    </row>
    <row r="493" ht="14.25" customHeight="1">
      <c r="A493" s="18">
        <v>43983.0</v>
      </c>
      <c r="B493" s="19" t="s">
        <v>13</v>
      </c>
      <c r="C493" s="19">
        <v>54.0</v>
      </c>
      <c r="D493" s="19">
        <v>11864.0</v>
      </c>
      <c r="E493" s="19">
        <v>11071.0</v>
      </c>
      <c r="G493" s="9" t="str">
        <f t="shared" si="1"/>
        <v>43983|Москва Восток</v>
      </c>
    </row>
    <row r="494" ht="14.25" customHeight="1">
      <c r="A494" s="18">
        <v>43983.0</v>
      </c>
      <c r="B494" s="19" t="s">
        <v>15</v>
      </c>
      <c r="C494" s="19">
        <v>59.0</v>
      </c>
      <c r="D494" s="19">
        <v>12299.0</v>
      </c>
      <c r="E494" s="19">
        <v>11448.0</v>
      </c>
      <c r="G494" s="9" t="str">
        <f t="shared" si="1"/>
        <v>43983|Москва Запад</v>
      </c>
    </row>
    <row r="495" ht="14.25" customHeight="1">
      <c r="A495" s="18">
        <v>43983.0</v>
      </c>
      <c r="B495" s="19" t="s">
        <v>21</v>
      </c>
      <c r="C495" s="19">
        <v>20.0</v>
      </c>
      <c r="D495" s="19">
        <v>2136.0</v>
      </c>
      <c r="E495" s="19">
        <v>1899.0</v>
      </c>
      <c r="G495" s="9" t="str">
        <f t="shared" si="1"/>
        <v>43983|Нижний Новгород</v>
      </c>
    </row>
    <row r="496" ht="14.25" customHeight="1">
      <c r="A496" s="18">
        <v>43983.0</v>
      </c>
      <c r="B496" s="19" t="s">
        <v>27</v>
      </c>
      <c r="C496" s="19">
        <v>18.0</v>
      </c>
      <c r="D496" s="19">
        <v>923.0</v>
      </c>
      <c r="E496" s="19">
        <v>824.0</v>
      </c>
      <c r="G496" s="9" t="str">
        <f t="shared" si="1"/>
        <v>43983|Новосибирск</v>
      </c>
    </row>
    <row r="497" ht="14.25" customHeight="1">
      <c r="A497" s="18">
        <v>43983.0</v>
      </c>
      <c r="B497" s="19" t="s">
        <v>26</v>
      </c>
      <c r="C497" s="19">
        <v>17.0</v>
      </c>
      <c r="D497" s="19">
        <v>1185.0</v>
      </c>
      <c r="E497" s="19">
        <v>1042.0</v>
      </c>
      <c r="G497" s="9" t="str">
        <f t="shared" si="1"/>
        <v>43983|Пермь</v>
      </c>
    </row>
    <row r="498" ht="14.25" customHeight="1">
      <c r="A498" s="18">
        <v>43983.0</v>
      </c>
      <c r="B498" s="19" t="s">
        <v>24</v>
      </c>
      <c r="C498" s="19">
        <v>16.0</v>
      </c>
      <c r="D498" s="19">
        <v>1019.0</v>
      </c>
      <c r="E498" s="19">
        <v>895.0</v>
      </c>
      <c r="G498" s="9" t="str">
        <f t="shared" si="1"/>
        <v>43983|Ростов-на-Дону</v>
      </c>
    </row>
    <row r="499" ht="14.25" customHeight="1">
      <c r="A499" s="18">
        <v>43983.0</v>
      </c>
      <c r="B499" s="19" t="s">
        <v>9</v>
      </c>
      <c r="C499" s="19">
        <v>15.0</v>
      </c>
      <c r="D499" s="19">
        <v>453.0</v>
      </c>
      <c r="E499" s="19">
        <v>370.0</v>
      </c>
      <c r="G499" s="9" t="str">
        <f t="shared" si="1"/>
        <v>43983|Самара</v>
      </c>
    </row>
    <row r="500" ht="14.25" customHeight="1">
      <c r="A500" s="18">
        <v>43983.0</v>
      </c>
      <c r="B500" s="19" t="s">
        <v>16</v>
      </c>
      <c r="C500" s="19">
        <v>123.0</v>
      </c>
      <c r="D500" s="19">
        <v>20325.0</v>
      </c>
      <c r="E500" s="19">
        <v>18935.0</v>
      </c>
      <c r="G500" s="9" t="str">
        <f t="shared" si="1"/>
        <v>43983|Санкт-Петербург Север</v>
      </c>
    </row>
    <row r="501" ht="14.25" customHeight="1">
      <c r="A501" s="18">
        <v>43983.0</v>
      </c>
      <c r="B501" s="19" t="s">
        <v>18</v>
      </c>
      <c r="C501" s="19">
        <v>128.0</v>
      </c>
      <c r="D501" s="19">
        <v>16285.0</v>
      </c>
      <c r="E501" s="19">
        <v>15130.0</v>
      </c>
      <c r="G501" s="9" t="str">
        <f t="shared" si="1"/>
        <v>43983|Санкт-Петербург Юг</v>
      </c>
    </row>
    <row r="502" ht="14.25" customHeight="1">
      <c r="A502" s="18">
        <v>43983.0</v>
      </c>
      <c r="B502" s="19" t="s">
        <v>25</v>
      </c>
      <c r="C502" s="19">
        <v>10.0</v>
      </c>
      <c r="D502" s="19">
        <v>719.0</v>
      </c>
      <c r="E502" s="19">
        <v>627.0</v>
      </c>
      <c r="G502" s="9" t="str">
        <f t="shared" si="1"/>
        <v>43983|Тольятти</v>
      </c>
    </row>
    <row r="503" ht="14.25" customHeight="1">
      <c r="A503" s="18">
        <v>43983.0</v>
      </c>
      <c r="B503" s="19" t="s">
        <v>29</v>
      </c>
      <c r="C503" s="19">
        <v>9.0</v>
      </c>
      <c r="D503" s="19">
        <v>294.0</v>
      </c>
      <c r="E503" s="19">
        <v>224.0</v>
      </c>
      <c r="G503" s="9" t="str">
        <f t="shared" si="1"/>
        <v>43983|Томск</v>
      </c>
    </row>
    <row r="504" ht="14.25" customHeight="1">
      <c r="A504" s="18">
        <v>43983.0</v>
      </c>
      <c r="B504" s="19" t="s">
        <v>23</v>
      </c>
      <c r="C504" s="19">
        <v>7.0</v>
      </c>
      <c r="D504" s="19">
        <v>500.0</v>
      </c>
      <c r="E504" s="19">
        <v>418.0</v>
      </c>
      <c r="G504" s="9" t="str">
        <f t="shared" si="1"/>
        <v>43983|Тюмень</v>
      </c>
    </row>
    <row r="505" ht="14.25" customHeight="1">
      <c r="A505" s="18">
        <v>43983.0</v>
      </c>
      <c r="B505" s="19" t="s">
        <v>28</v>
      </c>
      <c r="C505" s="19">
        <v>6.0</v>
      </c>
      <c r="D505" s="19">
        <v>237.0</v>
      </c>
      <c r="E505" s="19">
        <v>175.0</v>
      </c>
      <c r="G505" s="9" t="str">
        <f t="shared" si="1"/>
        <v>43983|Уфа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